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ELITEBOOK\Downloads\"/>
    </mc:Choice>
  </mc:AlternateContent>
  <xr:revisionPtr revIDLastSave="0" documentId="13_ncr:1_{65A413F5-F4C8-42E0-AA44-D8473886788E}" xr6:coauthVersionLast="47" xr6:coauthVersionMax="47" xr10:uidLastSave="{00000000-0000-0000-0000-000000000000}"/>
  <bookViews>
    <workbookView xWindow="-120" yWindow="-120" windowWidth="20730" windowHeight="11160" firstSheet="8" activeTab="8" xr2:uid="{75F6EF98-6D61-40AA-8D3E-6156DA9BC49D}"/>
  </bookViews>
  <sheets>
    <sheet name="M3,Ind. 1,2,3" sheetId="2" r:id="rId1"/>
    <sheet name="M3, Ind. 4" sheetId="1" r:id="rId2"/>
    <sheet name="M4,Ind. 4" sheetId="4" r:id="rId3"/>
    <sheet name="M4, Ind. 7" sheetId="5" r:id="rId4"/>
    <sheet name="M4,Ind.9 y 10" sheetId="6" r:id="rId5"/>
    <sheet name="M4,Ind.11 y 14" sheetId="7" r:id="rId6"/>
    <sheet name="M4,Ind. 15 y 16" sheetId="8" r:id="rId7"/>
    <sheet name="M4, Ind. 17" sheetId="9" r:id="rId8"/>
    <sheet name="M4, Ind.19" sheetId="3" r:id="rId9"/>
    <sheet name="M4, Ind. 20" sheetId="10" r:id="rId10"/>
    <sheet name="M6, Ind. 2" sheetId="11" r:id="rId11"/>
    <sheet name="M6, Ind.8" sheetId="12" r:id="rId12"/>
    <sheet name="M8,Ind. 1" sheetId="13" r:id="rId13"/>
    <sheet name="M8,Ind. 9" sheetId="14" r:id="rId14"/>
    <sheet name="M10,Ind. 4" sheetId="15" r:id="rId15"/>
    <sheet name="M17, Ind. 3" sheetId="16" r:id="rId16"/>
  </sheets>
  <definedNames>
    <definedName name="_xlnm._FilterDatabase" localSheetId="14" hidden="1">'M10,Ind. 4'!$A$10:$G$10</definedName>
    <definedName name="_xlnm._FilterDatabase" localSheetId="15" hidden="1">'M17, Ind. 3'!#REF!</definedName>
    <definedName name="_xlnm._FilterDatabase" localSheetId="1" hidden="1">'M3, Ind. 4'!$A$8:$G$15</definedName>
    <definedName name="_xlnm._FilterDatabase" localSheetId="0" hidden="1">'M3,Ind. 1,2,3'!$A$8:$G$15</definedName>
    <definedName name="_xlnm._FilterDatabase" localSheetId="7" hidden="1">'M4, Ind. 17'!#REF!</definedName>
    <definedName name="_xlnm._FilterDatabase" localSheetId="9" hidden="1">'M4, Ind. 20'!#REF!</definedName>
    <definedName name="_xlnm._FilterDatabase" localSheetId="3" hidden="1">'M4, Ind. 7'!#REF!</definedName>
    <definedName name="_xlnm._FilterDatabase" localSheetId="8" hidden="1">'M4, Ind.19'!$A$11:$J$156</definedName>
    <definedName name="_xlnm._FilterDatabase" localSheetId="6" hidden="1">'M4,Ind. 15 y 16'!#REF!</definedName>
    <definedName name="_xlnm._FilterDatabase" localSheetId="2" hidden="1">'M4,Ind. 4'!$A$8:$C$15</definedName>
    <definedName name="_xlnm._FilterDatabase" localSheetId="5" hidden="1">'M4,Ind.11 y 14'!#REF!</definedName>
    <definedName name="_xlnm._FilterDatabase" localSheetId="4" hidden="1">'M4,Ind.9 y 10'!#REF!</definedName>
    <definedName name="_xlnm._FilterDatabase" localSheetId="10" hidden="1">'M6, Ind. 2'!#REF!</definedName>
    <definedName name="_xlnm._FilterDatabase" localSheetId="11" hidden="1">'M6, Ind.8'!#REF!</definedName>
    <definedName name="_xlnm._FilterDatabase" localSheetId="12" hidden="1">'M8,Ind. 1'!$I$5:$R$10</definedName>
    <definedName name="_xlnm._FilterDatabase" localSheetId="13" hidden="1">'M8,Ind. 9'!$A$10:$H$10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5" i="9" l="1"/>
  <c r="C89" i="9" s="1"/>
  <c r="C85" i="9"/>
  <c r="C90" i="9" s="1"/>
  <c r="D89"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Div. Sistemas</author>
  </authors>
  <commentList>
    <comment ref="B10" authorId="0" shapeId="0" xr:uid="{A6DF3948-E065-4BBB-8865-32834887CB2E}">
      <text>
        <r>
          <rPr>
            <b/>
            <sz val="9"/>
            <color indexed="81"/>
            <rFont val="Tahoma"/>
            <family val="2"/>
          </rPr>
          <t>Div. Sistemas:</t>
        </r>
        <r>
          <rPr>
            <sz val="9"/>
            <color indexed="81"/>
            <rFont val="Tahoma"/>
            <family val="2"/>
          </rPr>
          <t xml:space="preserve">
INSCRITOS 106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Estadistica y Evaluación  ITSTepeaca</author>
  </authors>
  <commentList>
    <comment ref="Q10" authorId="0" shapeId="0" xr:uid="{8F935E56-BBDF-4E05-AECA-58784B6816FB}">
      <text>
        <r>
          <rPr>
            <b/>
            <sz val="9"/>
            <color indexed="81"/>
            <rFont val="Tahoma"/>
            <family val="2"/>
          </rPr>
          <t>Para determinar el tamaño de la empresa, considerar la tabla ESTRATIFICACIÓN DE EMPRESAS</t>
        </r>
      </text>
    </comment>
  </commentList>
</comments>
</file>

<file path=xl/sharedStrings.xml><?xml version="1.0" encoding="utf-8"?>
<sst xmlns="http://schemas.openxmlformats.org/spreadsheetml/2006/main" count="1992" uniqueCount="584">
  <si>
    <t>Instituto Tecnológico Superior de Tepeaca</t>
  </si>
  <si>
    <t>Organismo Público Descentralizado del Gobierno del Estado</t>
  </si>
  <si>
    <t>CARRERA</t>
  </si>
  <si>
    <t>ISIC</t>
  </si>
  <si>
    <t>IIAL</t>
  </si>
  <si>
    <t>IIND</t>
  </si>
  <si>
    <t>ITIC</t>
  </si>
  <si>
    <t>IGEM</t>
  </si>
  <si>
    <t>GAST</t>
  </si>
  <si>
    <t>IINDm</t>
  </si>
  <si>
    <t>Número de Estudiantes de Licenciatura Inscritos en Programas Acreditados en el año 2023.</t>
  </si>
  <si>
    <t>Matrícula Total de Estudiantes de Licenciatura en el año 2023.</t>
  </si>
  <si>
    <t>EVALUACIONES ELABORADAS</t>
  </si>
  <si>
    <t>ACREDITACIÓN Y/O REACREDITACIÓN</t>
  </si>
  <si>
    <t>EVALUACIÓN POR ORGANISMO RECONOCIDOS</t>
  </si>
  <si>
    <t xml:space="preserve">NÚMERO </t>
  </si>
  <si>
    <t xml:space="preserve">FECHA </t>
  </si>
  <si>
    <t xml:space="preserve">SI / NO
</t>
  </si>
  <si>
    <t>CASA ACREDITADORA</t>
  </si>
  <si>
    <t>NÚMERO</t>
  </si>
  <si>
    <t>FECHA</t>
  </si>
  <si>
    <t>ORGANISMO EVALUADOR</t>
  </si>
  <si>
    <t>INDICADOR. Porcentaje de prácticas realizadas.</t>
  </si>
  <si>
    <t>FECHA DE ACTUALIZACIÓN</t>
  </si>
  <si>
    <t>RESPONSABLE</t>
  </si>
  <si>
    <t>MTRO. BERNARDINO FUENTES SOLAR</t>
  </si>
  <si>
    <t>JEFE DE DIVISIÓN DE ISIC</t>
  </si>
  <si>
    <t>NO.</t>
  </si>
  <si>
    <t>MATERIA</t>
  </si>
  <si>
    <t>NOMBRE DE LA PRÁCTICA</t>
  </si>
  <si>
    <t>SEMESTRE
( 1°, 2°, 3°,etc. )</t>
  </si>
  <si>
    <t>GRUPO</t>
  </si>
  <si>
    <t>FECHA DE REALIZACIÓN
( día/mes/año )</t>
  </si>
  <si>
    <t>NOMBRE DEL DOCENTE
( Apellido Paterno, Apellido Materno, Nombre(s) )</t>
  </si>
  <si>
    <t>NO. DE ESTUDIANTES DEL GRUPO</t>
  </si>
  <si>
    <t>NO. DE ESTUDIANTES QUE REALIZARON LA PRÁCTICA</t>
  </si>
  <si>
    <t>LABORATORIO UTILIZADO
(Cómputo, Sistemas, CISCO, Electrónica, Química, Industrial, Alimentos, Manufactura, Virtual)</t>
  </si>
  <si>
    <t>Fundamentos de bases de datos</t>
  </si>
  <si>
    <t>Clasificar las bases de datos según su variabilidad y su contenido.</t>
  </si>
  <si>
    <t>4º</t>
  </si>
  <si>
    <t>A</t>
  </si>
  <si>
    <t>Palacios García Ana Cristina</t>
  </si>
  <si>
    <t>Sistemas</t>
  </si>
  <si>
    <t>Diseñar bases de datos con diagramas E-R.</t>
  </si>
  <si>
    <t>15/02/2023-16/02/23</t>
  </si>
  <si>
    <t>Pasar de modelo E-R a modelo relacional las soluciones obtenidas en la práctica anterior.</t>
  </si>
  <si>
    <t>17(02/23</t>
  </si>
  <si>
    <t>Diagrama E-R extendido caso práctico</t>
  </si>
  <si>
    <t>23/02/2023-2/03/23</t>
  </si>
  <si>
    <t>Crear esquemas de BD en el SGBD</t>
  </si>
  <si>
    <t>Uso de instrucciones DLL.</t>
  </si>
  <si>
    <t>16/03/2023-23/03/23</t>
  </si>
  <si>
    <t>Aplicar proceso de normalización en el caso práctico planteado</t>
  </si>
  <si>
    <t>Administración de bases de datos</t>
  </si>
  <si>
    <t>Detección de requerimientos en caso de estudio para seleccionar el SGBD que más se adecúa a la situación planteada.</t>
  </si>
  <si>
    <t>6º</t>
  </si>
  <si>
    <t>Instalación y configuración de PostgreSQL</t>
  </si>
  <si>
    <t>08/02/2023-15/02/23</t>
  </si>
  <si>
    <t>Instalación de Android Studio para crear una aplicación que haga uso de BD de tipo SQLite</t>
  </si>
  <si>
    <t>21/02/2023-28/02/23</t>
  </si>
  <si>
    <t>Uso de MYSQL, instalación y uso de instrucciones LMD.</t>
  </si>
  <si>
    <t>Configuración y administración del espacio en disco en PostgreSQL</t>
  </si>
  <si>
    <t>07/03/2023-13/03/23</t>
  </si>
  <si>
    <t>Creación de espacios asignados a objetos, usuarios y para la base de datos con MYSQL.</t>
  </si>
  <si>
    <t>15/03/2023-29/03/23</t>
  </si>
  <si>
    <t>SIStemas</t>
  </si>
  <si>
    <t>Redes neuronales artificiales</t>
  </si>
  <si>
    <t>Instalación de software para realizar prácticas: Matlab y Weka</t>
  </si>
  <si>
    <t>8º</t>
  </si>
  <si>
    <t>Cómputo</t>
  </si>
  <si>
    <t>Generador de 1000 números aleatorios en el intervalo [-1,1]</t>
  </si>
  <si>
    <t>Clasificación de puntos usando un perceptrón simple para distinguir entre puntos que se encuentran de uno u otro lado de una recta sobre el segmento de recta [-1,1], recta y=3x+0.5.</t>
  </si>
  <si>
    <t>16/02/2023-20/02/23</t>
  </si>
  <si>
    <t>Uso de Weka para realizar predicciones sobre el costo del bitcoin del día 1 de marzo del 2023</t>
  </si>
  <si>
    <t>27/02/2023-2/03/23</t>
  </si>
  <si>
    <t>Utilizar el Neural Network Toolbox de Matlab.</t>
  </si>
  <si>
    <t>13/03/2023-16/03/23</t>
  </si>
  <si>
    <t>Lenguajes y Autómatas I</t>
  </si>
  <si>
    <t>Realizar un diagrama de procesos de un traductor</t>
  </si>
  <si>
    <t>4°</t>
  </si>
  <si>
    <t>Neri Ramírez Daniel</t>
  </si>
  <si>
    <t>Electrónica</t>
  </si>
  <si>
    <t>Ejemplo de una expresión regular para testear un correo electrónico en javascript</t>
  </si>
  <si>
    <t>Realizar un programa que implemente una expresión regular</t>
  </si>
  <si>
    <t xml:space="preserve">Realizar Solución de un Autómata Finito determinista </t>
  </si>
  <si>
    <t>Programar un Analizador Léxico</t>
  </si>
  <si>
    <t>Programación Lógica y Funcional</t>
  </si>
  <si>
    <t>Desarrollar programas en 2 paradigmas de programación: Procedimental y orientado a objetos</t>
  </si>
  <si>
    <t>6°</t>
  </si>
  <si>
    <t>31/01/2023 al 13/02/2023</t>
  </si>
  <si>
    <t>Realizar programas en un paradigma de programación Funcional</t>
  </si>
  <si>
    <t>20/02/2023 a 17/03/2023</t>
  </si>
  <si>
    <t xml:space="preserve">Metodologías Ágiles </t>
  </si>
  <si>
    <t>Diseño de un proyecto de desarrollo de sistema</t>
  </si>
  <si>
    <t>8°</t>
  </si>
  <si>
    <t>08/02/2023 a 23/02/2023</t>
  </si>
  <si>
    <t xml:space="preserve">Desarrollo de un proyecto usando una metodología RUP con </t>
  </si>
  <si>
    <t>01/03/2023 a 30/03/2023</t>
  </si>
  <si>
    <t>Programación de Robots</t>
  </si>
  <si>
    <t>Programación de Robot Móvil con EV3 de lego Minstroms</t>
  </si>
  <si>
    <t>24/01/2023 a 23/02/2023</t>
  </si>
  <si>
    <t>Programación de un robot móvil con ROS Noetic y UBUNTU 20.04</t>
  </si>
  <si>
    <t>02/03/2023 a 29/03/2023</t>
  </si>
  <si>
    <t>Contabilidad Financiera</t>
  </si>
  <si>
    <t>Objetivos y características de la contabilidad financiera</t>
  </si>
  <si>
    <t>Zenón Elías Acata Sánchez</t>
  </si>
  <si>
    <t>Aula 16</t>
  </si>
  <si>
    <t>Integración del Balance General</t>
  </si>
  <si>
    <t>Integración del Estado de Resultados</t>
  </si>
  <si>
    <t>Registros de operaciones con partida doble</t>
  </si>
  <si>
    <t>B</t>
  </si>
  <si>
    <t>Aula 18</t>
  </si>
  <si>
    <t>Programación Orientada a Objetos</t>
  </si>
  <si>
    <t>Crear un programa que instancie y use un objeto predefinido por el lenguaje para practicar el envío de mensajes, el uso de parámetros y la recepción de su respuesta. Sugerencia: objeto de clase String.</t>
  </si>
  <si>
    <t>2°</t>
  </si>
  <si>
    <t>1/02/23 al 08/02/23</t>
  </si>
  <si>
    <t>Silverio Flores Ernesto</t>
  </si>
  <si>
    <t>Implementar clases para instanciar objetos que modelen sus contrapartes de la vida real usando tipos de datos simples y objetos como parámetros y valores de retorno, así como métodos sin valores de retorno.</t>
  </si>
  <si>
    <t>9/02/23 al 16/02/23</t>
  </si>
  <si>
    <t>Intercambiar clases de objetos entre compañeros para usar sus miembros con valores o situaciones erróneas que evidencien la necesidad de protegerlos con modificadores de acceso. Modificar el código fuente aplicando los distintos niveles de acceso para experimentar y descubrir (aprender) el impacto de cada uno de ellos.</t>
  </si>
  <si>
    <t>22/02/23 al 23/02/23</t>
  </si>
  <si>
    <t>Implementar la clase Persona con los atributos nombre y edad; un constructor, un destructor, y al menos el método crecer para mapear el ciclo de vida de una persona con el de un objeto.</t>
  </si>
  <si>
    <t>8/03/23 al 15/03/23</t>
  </si>
  <si>
    <t>Implementar la clase Calculadora que realice al menos las cuatro operaciones básicas de la aritmética sobrecargando métodos para cada tipo de dato numérico del lenguaje de los parámetros.</t>
  </si>
  <si>
    <t>23/03/23 al 30/03/23</t>
  </si>
  <si>
    <t>Simulación</t>
  </si>
  <si>
    <t>Determinar las características que se requieren para simular un sistema como: un aeropuerto, una bodega de distribución de productos, un sistema de control de tránsito para la ciudad, una máquina dobladora de lámina, una computadora, un sistema de cobranza, la recepción de un hotel, un sistema de inspección de calidad, un sistema de mantenimiento de equipo.</t>
  </si>
  <si>
    <t>Utilice uno de los métodos de generación vistos y construya un programa en un lenguaje de alto nivel en que, dados los datos que requiera, genere un período completo de al menos 4096 números pseudoaleatorios. Guarde en un archivo la semilla, las constantes y el módulo utilizado.</t>
  </si>
  <si>
    <t xml:space="preserve">Implementar un programa que aplique las pruebas estadísticas para demostrar la independencia de los números pseudoaleatorios generados (una prueba de corridas, la de póquer y una prueba de series). Guarde en un archivo la semilla, las constantes y el módulo utilizados que pasen todas estas pruebas. </t>
  </si>
  <si>
    <t>2/03/23 al 9/03/23</t>
  </si>
  <si>
    <t xml:space="preserve">Resolver un problema aplicando el método de Monte Carlo implementándolo en un lenguaje de alto nivel. </t>
  </si>
  <si>
    <t>16/03/23 al 30/03/23</t>
  </si>
  <si>
    <t xml:space="preserve">Redes de Computadoras </t>
  </si>
  <si>
    <t>Configurar diferentes tipos de cables siguiendo los estándares del cableado estructurado.</t>
  </si>
  <si>
    <t>1/02/23 al 15/02/23</t>
  </si>
  <si>
    <t>Cisco</t>
  </si>
  <si>
    <t>Utilizar las diferentes herramientas de diagnóstico para asegurar el correcto funcionamiento del cableado. </t>
  </si>
  <si>
    <t>1/03/23 al 22/03/23</t>
  </si>
  <si>
    <t>Enlazar nodos por medio de dispositivos de interconexión y medios de transmisión. </t>
  </si>
  <si>
    <t>15/03/23 al 29/03/23</t>
  </si>
  <si>
    <t xml:space="preserve">Administración de redes </t>
  </si>
  <si>
    <t>Crear cuentas y perfiles de acceso.</t>
  </si>
  <si>
    <t>15/02/23 al 22/02/23</t>
  </si>
  <si>
    <t>Utilizar un analizador de protocolos para verificar el estado del tráfico de una red en funcionamiento. </t>
  </si>
  <si>
    <t>8/03/23 al 29/03/23</t>
  </si>
  <si>
    <t>Administración de Servidores de Redes</t>
  </si>
  <si>
    <t>Configuraciòn de CENTOS</t>
  </si>
  <si>
    <t>14/02/23 al 28/02/23</t>
  </si>
  <si>
    <t xml:space="preserve">Instalar los servidores en Centos (IDS, Proxy, Fireware, LDAP, AD y Radius) </t>
  </si>
  <si>
    <t>7/03/23 al 28/03/23</t>
  </si>
  <si>
    <t>Seguridad en Redes</t>
  </si>
  <si>
    <t>Configuración básica de seguridad(práctica en simulador) Configuración básica de seguridad (práctica en laboratorio)</t>
  </si>
  <si>
    <t>8/02/23 al 22/02/23</t>
  </si>
  <si>
    <t>Administrar los archivos de configuración IOS de Cisco y el sistema de archivos Establecer y utilizar el SDM (Security Device Manager) de Cisco y el SDM Express para configurar la seguridad avanzada del router </t>
  </si>
  <si>
    <t>Sistemas operativos</t>
  </si>
  <si>
    <t>Monitoreo de memoria de un proceso.</t>
  </si>
  <si>
    <t>31/01/2023 al</t>
  </si>
  <si>
    <t>León Florez Inés</t>
  </si>
  <si>
    <t>Elaborar algunas llamadas al sistema y distinguir el mecanismo de las interrupciones en el contexto de los Procesos.</t>
  </si>
  <si>
    <t>14/02/23 al 21/02/23</t>
  </si>
  <si>
    <t>Introducción de una nueva llamada al sistema en el kernel.</t>
  </si>
  <si>
    <t>28/02/23 al 07/03/23</t>
  </si>
  <si>
    <t>Administración de entrada/salida.</t>
  </si>
  <si>
    <t>14/03/23 al 21/03/23</t>
  </si>
  <si>
    <t>Gestión de archivos (creación, lectura, escritura e identificación de permisos).</t>
  </si>
  <si>
    <t>28/03/23 al 18/04/23</t>
  </si>
  <si>
    <t>Ingeniería de software</t>
  </si>
  <si>
    <t>Elaboración y revisión del anteproyecto del sistema de desarrollo.</t>
  </si>
  <si>
    <t> </t>
  </si>
  <si>
    <t>24/01/2023 al 30/01/2023</t>
  </si>
  <si>
    <t>Elaborar un estudio de factibilidad y el costo-beneficio aplicado a la organización.</t>
  </si>
  <si>
    <t>31/01/2023 al 07/02/2023</t>
  </si>
  <si>
    <t>Con la ayuda de una herramienta CASE elabora el análisis del modelo de negocio seleccionado, considerando el modelo de requisitos, casos de uso, documentación de casos de uso y modelo de dominio.</t>
  </si>
  <si>
    <t xml:space="preserve">13/02/2023 al 20/02/2023 </t>
  </si>
  <si>
    <t>Establecer un diseño preliminar de las interfaces de usuario de acuerdo con los requisitos.</t>
  </si>
  <si>
    <t>21/02/2023 al 28/02/2023</t>
  </si>
  <si>
    <t>Elaborar un diseño de bases de datos emanado del modelo entidad-relación.</t>
  </si>
  <si>
    <t xml:space="preserve">06/03/2023 al 13/03/2023 </t>
  </si>
  <si>
    <t>A partir del diccionario de datos y el diagrama E-R crear una base de datos.</t>
  </si>
  <si>
    <t>14/03/2023 al 27/03/2023</t>
  </si>
  <si>
    <t>Desarrollar los procesos identificados, asegurando las operaciones básicas de todo sistema:</t>
  </si>
  <si>
    <t>28/03/2023 al 18/04/2023</t>
  </si>
  <si>
    <t>registro, actualización, consulta y estadística.</t>
  </si>
  <si>
    <t>Sistemas Programables</t>
  </si>
  <si>
    <t>Sensor PIR</t>
  </si>
  <si>
    <t>"A"</t>
  </si>
  <si>
    <t>García Herández Juan</t>
  </si>
  <si>
    <t>Sensor HC-SR04</t>
  </si>
  <si>
    <t>Semnsores fotoelectricos, LDR con LED</t>
  </si>
  <si>
    <t>Sensor de Gas</t>
  </si>
  <si>
    <t>Sensor Infrarrojo</t>
  </si>
  <si>
    <t>Sensor de presión</t>
  </si>
  <si>
    <t>Control de servomotor estándar</t>
  </si>
  <si>
    <t>: Pantalla alfanumérica LCD 16X2 con Arduino en Tinkercad.</t>
  </si>
  <si>
    <t>Sensor PIR con Arduino en Tinkercad</t>
  </si>
  <si>
    <t>Proyecto Alarma con Arduino</t>
  </si>
  <si>
    <t>Servomotor de rotación continua</t>
  </si>
  <si>
    <t>Comunicación computadora con Arduino</t>
  </si>
  <si>
    <t>Lenguaje de Inrerfaz</t>
  </si>
  <si>
    <t>Instalación Turbo Assembler</t>
  </si>
  <si>
    <t>Escribiendo el primer Programa en Lenguaje Ensamblador</t>
  </si>
  <si>
    <t>Modificaciones al primer programa</t>
  </si>
  <si>
    <t>El segundo programa en lenguaje ensamblador: REVERSE.ASM.</t>
  </si>
  <si>
    <t>Procedimientos</t>
  </si>
  <si>
    <t>Macros :</t>
  </si>
  <si>
    <t>Manejo de puertos PIC 16F84A</t>
  </si>
  <si>
    <t>Simulación Compuerta lógica AND MPLAB Proteus</t>
  </si>
  <si>
    <t>Princ. Elect. y Aplic. Digit.</t>
  </si>
  <si>
    <t>Resistencias</t>
  </si>
  <si>
    <t>Resistencias en serie</t>
  </si>
  <si>
    <t>03-08/02/2023</t>
  </si>
  <si>
    <t>Resistencias en paralelo</t>
  </si>
  <si>
    <t>15-17/02/2023</t>
  </si>
  <si>
    <t>El potenciometro</t>
  </si>
  <si>
    <t>El relé</t>
  </si>
  <si>
    <t>El condensador</t>
  </si>
  <si>
    <t>22-24/02/2023</t>
  </si>
  <si>
    <t>El Diodo</t>
  </si>
  <si>
    <t>01-03/03/2023</t>
  </si>
  <si>
    <t>El Diodo LED</t>
  </si>
  <si>
    <t>08-10/03/2023</t>
  </si>
  <si>
    <t>El Transistor</t>
  </si>
  <si>
    <t>15-17/03/2023</t>
  </si>
  <si>
    <t>Detector de humedad con Transistor BC547</t>
  </si>
  <si>
    <t>Circuito intermitente (Oscilador)</t>
  </si>
  <si>
    <t xml:space="preserve">Programación Web </t>
  </si>
  <si>
    <t xml:space="preserve">Arquitectura de las aplicaciones web </t>
  </si>
  <si>
    <t xml:space="preserve">CaselÍn Martínez Leopoldo </t>
  </si>
  <si>
    <t xml:space="preserve">Cómputo </t>
  </si>
  <si>
    <t xml:space="preserve">Programación Back y Front end </t>
  </si>
  <si>
    <t>Frameworks MVC vs SPA</t>
  </si>
  <si>
    <t xml:space="preserve">Sistemas </t>
  </si>
  <si>
    <t xml:space="preserve">Planificación de aplicaciones web </t>
  </si>
  <si>
    <t xml:space="preserve">Introduccion a Back </t>
  </si>
  <si>
    <t>Introducción a HTML, XML y CSS</t>
  </si>
  <si>
    <t xml:space="preserve">Modelado de datos </t>
  </si>
  <si>
    <t xml:space="preserve">Elementos básicos del lenguaje HTML </t>
  </si>
  <si>
    <t>Operaciones CRUD</t>
  </si>
  <si>
    <t>Formularios</t>
  </si>
  <si>
    <t>Computo</t>
  </si>
  <si>
    <t xml:space="preserve">Indexación </t>
  </si>
  <si>
    <t xml:space="preserve">Lenguajes de presentación </t>
  </si>
  <si>
    <t>Backup</t>
  </si>
  <si>
    <t xml:space="preserve">Selectores </t>
  </si>
  <si>
    <t xml:space="preserve">Modelo de caja en app web </t>
  </si>
  <si>
    <t>Desarrollo de web apps con java y spring</t>
  </si>
  <si>
    <t xml:space="preserve">Introducción al lenguaje del cliente </t>
  </si>
  <si>
    <t>Modelo MVC java Servlets y java Beans</t>
  </si>
  <si>
    <t xml:space="preserve">Manejar frameworks </t>
  </si>
  <si>
    <t>Framework spring</t>
  </si>
  <si>
    <t xml:space="preserve">Programación web </t>
  </si>
  <si>
    <t xml:space="preserve">Estructuras de control </t>
  </si>
  <si>
    <t xml:space="preserve">Spring hibernate </t>
  </si>
  <si>
    <t xml:space="preserve">Manipulación de objetos </t>
  </si>
  <si>
    <t xml:space="preserve">Gestión de ficheros </t>
  </si>
  <si>
    <t xml:space="preserve">Aplicación de la manipulación de objetos </t>
  </si>
  <si>
    <t xml:space="preserve">Desarrollo back </t>
  </si>
  <si>
    <t>Completar desarrollo front</t>
  </si>
  <si>
    <t>Taller de Investigación 1</t>
  </si>
  <si>
    <t>Redacción de Antecedentes del problema</t>
  </si>
  <si>
    <t>Tovany León Rafael</t>
  </si>
  <si>
    <t>Aula 20</t>
  </si>
  <si>
    <t>Redacción del Planteamiento del Problema</t>
  </si>
  <si>
    <t>Redacción de Objetivos y Justificación</t>
  </si>
  <si>
    <t>MODALIDAD</t>
  </si>
  <si>
    <t>PROGRAMAS ACADÉMICOS ORIENTADOS AL DESARROLLO SUSTENTABLE E INCLUSIÓN.</t>
  </si>
  <si>
    <t>ESCOLARIZADO</t>
  </si>
  <si>
    <t>NO. DE CONTROL</t>
  </si>
  <si>
    <r>
      <t xml:space="preserve">NOMBRE DEL ALUMNO
</t>
    </r>
    <r>
      <rPr>
        <b/>
        <sz val="10"/>
        <color theme="0"/>
        <rFont val="Calibri"/>
        <family val="2"/>
        <scheme val="minor"/>
      </rPr>
      <t>( Apellido Paterno, Apellido Materno, Nombre(s) )</t>
    </r>
  </si>
  <si>
    <r>
      <t xml:space="preserve">SEXO
</t>
    </r>
    <r>
      <rPr>
        <b/>
        <sz val="8"/>
        <color theme="0"/>
        <rFont val="Calibri"/>
        <family val="2"/>
        <scheme val="minor"/>
      </rPr>
      <t>( H / M )</t>
    </r>
  </si>
  <si>
    <t>SEMESTRE</t>
  </si>
  <si>
    <t>PERIODO ESCOLAR</t>
  </si>
  <si>
    <t>PROGRAMA DE PRIMER NIVEL DE ATENCIÓN 2023</t>
  </si>
  <si>
    <t>NO APLICA</t>
  </si>
  <si>
    <t>GÉNERO</t>
  </si>
  <si>
    <t>GENERACIÓN</t>
  </si>
  <si>
    <r>
      <t xml:space="preserve">NOMBRE DE ALUMNOS EGRESADOS TITULADOS
</t>
    </r>
    <r>
      <rPr>
        <b/>
        <sz val="10"/>
        <color theme="0"/>
        <rFont val="Calibri"/>
        <family val="2"/>
        <scheme val="minor"/>
      </rPr>
      <t>( Apellido Paterno, Apellido Materno, Nombre(s) )</t>
    </r>
  </si>
  <si>
    <t>H</t>
  </si>
  <si>
    <t>M</t>
  </si>
  <si>
    <t>FECHA DE TITULACIÓN</t>
  </si>
  <si>
    <t>Aguilar Aparicio Alejandro</t>
  </si>
  <si>
    <t>X</t>
  </si>
  <si>
    <t>Romero Serrano Anavicky</t>
  </si>
  <si>
    <r>
      <t xml:space="preserve">NOMBRE DE ALUMNOS EGRESADOS 
</t>
    </r>
    <r>
      <rPr>
        <b/>
        <sz val="10"/>
        <color theme="0"/>
        <rFont val="Calibri"/>
        <family val="2"/>
        <scheme val="minor"/>
      </rPr>
      <t>( Apellido Paterno, Apellido Materno, Nombre(s) )</t>
    </r>
  </si>
  <si>
    <t>FECHA DE EGRESO</t>
  </si>
  <si>
    <t>Silverio Flores David</t>
  </si>
  <si>
    <t>Sanchez Muñoz Jose Fernando</t>
  </si>
  <si>
    <t>Cruz Garcia Dora Lisbet</t>
  </si>
  <si>
    <t>Marquez Cabrera Josue Daniel</t>
  </si>
  <si>
    <t>Conde Rosas Humberto</t>
  </si>
  <si>
    <t>Espinoza Varela Adrian</t>
  </si>
  <si>
    <t>Centeno Colotla Yareli</t>
  </si>
  <si>
    <t>Ortiz Sanchez Maria Berenice</t>
  </si>
  <si>
    <t>Jimenez Gonzaga Antonio</t>
  </si>
  <si>
    <t>Pavia Montiel Miriam Samaidy</t>
  </si>
  <si>
    <t xml:space="preserve"> </t>
  </si>
  <si>
    <t>SEXO
(H / M)</t>
  </si>
  <si>
    <t>TIPO DE BAJA 
(DEFINITIVA / TEMPORAL)</t>
  </si>
  <si>
    <t xml:space="preserve">FECHA DE BAJA </t>
  </si>
  <si>
    <t>Balladares Flores Jose Martin</t>
  </si>
  <si>
    <t>ESCOLARIZADA</t>
  </si>
  <si>
    <t>DEFINITIVA</t>
  </si>
  <si>
    <t>Hernandez Santiago Carolina Rubi</t>
  </si>
  <si>
    <t>F</t>
  </si>
  <si>
    <t>Ortiz Andrade Hector</t>
  </si>
  <si>
    <t>Torres Rodriguez Eduardo</t>
  </si>
  <si>
    <t>MATERIAS</t>
  </si>
  <si>
    <t>ALUMNOS INSCRITOS EN LA MATERIA</t>
  </si>
  <si>
    <t>ALUMNOS REPROBADOS EN LA MATERIA</t>
  </si>
  <si>
    <t>ISC</t>
  </si>
  <si>
    <t>ADMINISTRACIÓN DE BASE DE DATOS</t>
  </si>
  <si>
    <t>ADMINISTRACIÓN DE REDES</t>
  </si>
  <si>
    <t>ADMINISTRACIÓN DE SERVIDORES DE REDES</t>
  </si>
  <si>
    <t>ÁLGEBRA LINEAL</t>
  </si>
  <si>
    <t>CÁLCULO INTEGRAL</t>
  </si>
  <si>
    <t>CONTABILIDAD FINANCIERA</t>
  </si>
  <si>
    <t>ECUACIONES DIFERENCIALES</t>
  </si>
  <si>
    <t>FUNDAMENTOS DE BASES DE DATOS</t>
  </si>
  <si>
    <t>INGENIERÍA DE SOFTWARE</t>
  </si>
  <si>
    <t>LENGUAJES DE INTERFAZ</t>
  </si>
  <si>
    <t>LENGUAJES Y AUTÓMATAS I</t>
  </si>
  <si>
    <t>METODOLOGÍAS AGILES</t>
  </si>
  <si>
    <t>MÉTODOS NUMÉRICOS</t>
  </si>
  <si>
    <t>PRINCIPIOS ELECTRICOS Y APLICACIONES DIGITALES</t>
  </si>
  <si>
    <t>PROBABILIDAD Y ESTADÍSTICA</t>
  </si>
  <si>
    <t>PROGRAMACIÓN DE ROBOTS</t>
  </si>
  <si>
    <t>PROGRAMACIÓN EN BACK Y FRONT END</t>
  </si>
  <si>
    <t>PROGRAMACIÓN LÓGICA Y FUNCIONAL</t>
  </si>
  <si>
    <t>PROGRAMACIÓN ORIENTADA A OBJETOS</t>
  </si>
  <si>
    <t>PROGRAMACIÓN WEB</t>
  </si>
  <si>
    <t>QUÍMICA</t>
  </si>
  <si>
    <t>REDES DE COMPUTADORAS</t>
  </si>
  <si>
    <t>REDES NEURONALES ARTIFICIALES</t>
  </si>
  <si>
    <t>SEGURIDAD EN REDES</t>
  </si>
  <si>
    <t>SIMULACIÓN</t>
  </si>
  <si>
    <t>SISTEMAS OPERATIVOS</t>
  </si>
  <si>
    <t>SISTEMAS PROGRAMABLES</t>
  </si>
  <si>
    <t>TALLER DE INVESTIGACION I</t>
  </si>
  <si>
    <t>TOTALES</t>
  </si>
  <si>
    <t xml:space="preserve">SUMA DEL TOTAL DE AMBOS PERIODOS DE LOS ESTUDIANTES REPROBADOS EN LA MATERIA </t>
  </si>
  <si>
    <t xml:space="preserve">SUMA DEL TOTAL DE AMBOS PERIODOS DE LOS ESTUDIANTES INSCRITOS EN LA MATERIA </t>
  </si>
  <si>
    <t>NÚMERO DE PRODUCTOS NO CONFORME SOLVENTADOS.</t>
  </si>
  <si>
    <t>NÚMERO DE PRODUCTOS NO CONFORME IDENTIFICADOS.</t>
  </si>
  <si>
    <t>MATRÍCULA 2022</t>
  </si>
  <si>
    <t>MATRÍCULA 2023</t>
  </si>
  <si>
    <t>CARRERAS</t>
  </si>
  <si>
    <t>VARIABLES</t>
  </si>
  <si>
    <t>Estudiantes Inscritos en el Primer Semestre.</t>
  </si>
  <si>
    <t>Estudiantes solicitantes para exámen de admisión.</t>
  </si>
  <si>
    <t>INDICADOR. Porcentaje de Estudiantes Participantes en Residencia Profesional.</t>
  </si>
  <si>
    <t>NO. CONTROL</t>
  </si>
  <si>
    <r>
      <t xml:space="preserve">NOMBRE DEL ESTUDIANTE
</t>
    </r>
    <r>
      <rPr>
        <b/>
        <sz val="8"/>
        <color theme="0"/>
        <rFont val="Calibri"/>
        <family val="2"/>
        <scheme val="minor"/>
      </rPr>
      <t>( Apellido Paterno, Apellido Materno, Nombre(s) )</t>
    </r>
  </si>
  <si>
    <r>
      <t xml:space="preserve">SEXO
</t>
    </r>
    <r>
      <rPr>
        <b/>
        <sz val="8"/>
        <color theme="0"/>
        <rFont val="Calibri"/>
        <family val="2"/>
        <scheme val="minor"/>
      </rPr>
      <t>( H, M )</t>
    </r>
  </si>
  <si>
    <t>NO. DE CRÉDITOS APROBADOS</t>
  </si>
  <si>
    <t>MOTIVO POR EL CUAL NO REALIZÓ LA RESIDENCIA</t>
  </si>
  <si>
    <t>NO. CRÉDITOS APROBADOS</t>
  </si>
  <si>
    <t>NOMBRE DEL PROYECTO DE RESIDENCIA</t>
  </si>
  <si>
    <t>NOMBRE DE LA EMPRESA</t>
  </si>
  <si>
    <r>
      <t xml:space="preserve">GIRO
</t>
    </r>
    <r>
      <rPr>
        <b/>
        <sz val="8"/>
        <color theme="0"/>
        <rFont val="Calibri"/>
        <family val="2"/>
        <scheme val="minor"/>
      </rPr>
      <t>( Industria, Comercio, Servicios, Educativo )</t>
    </r>
  </si>
  <si>
    <r>
      <t xml:space="preserve">TAMAÑO DE LA EMPRESA
</t>
    </r>
    <r>
      <rPr>
        <b/>
        <sz val="8"/>
        <color theme="0"/>
        <rFont val="Calibri"/>
        <family val="2"/>
        <scheme val="minor"/>
      </rPr>
      <t>( Micro, Pequeña, Mediana, Grande )</t>
    </r>
  </si>
  <si>
    <r>
      <t xml:space="preserve">SECTOR </t>
    </r>
    <r>
      <rPr>
        <b/>
        <sz val="8"/>
        <color theme="0"/>
        <rFont val="Calibri"/>
        <family val="2"/>
        <scheme val="minor"/>
      </rPr>
      <t xml:space="preserve">
( Público, Privado, Social )</t>
    </r>
  </si>
  <si>
    <t>Ramirez Gozalez Gabriel</t>
  </si>
  <si>
    <t>Tuvo problemas familares y personales, realizo trámite ante comité académico</t>
  </si>
  <si>
    <t>Rosas Perez Anahí</t>
  </si>
  <si>
    <t xml:space="preserve">Sistema para el control de las prácticas de los laboratorios del ITS Tepeaca </t>
  </si>
  <si>
    <t>Instituto Tecnologico Superior de Tepeaca</t>
  </si>
  <si>
    <t>Educativo</t>
  </si>
  <si>
    <t>Mediana</t>
  </si>
  <si>
    <t>Público</t>
  </si>
  <si>
    <t>Ramirez Castillo Jose Javier</t>
  </si>
  <si>
    <t>No acredito Servicio Social</t>
  </si>
  <si>
    <t>Baez Jacinto Alberto</t>
  </si>
  <si>
    <t>Tec-Security</t>
  </si>
  <si>
    <t>Baez Ruiz Caroline</t>
  </si>
  <si>
    <t>Martinez Sanchez Luis Mario</t>
  </si>
  <si>
    <t>TAMAÑO</t>
  </si>
  <si>
    <t>Clasificación de la Empresa</t>
  </si>
  <si>
    <t>Estratificación por número de trabajadores</t>
  </si>
  <si>
    <t>Industria</t>
  </si>
  <si>
    <t>Comercio</t>
  </si>
  <si>
    <t>Servicios</t>
  </si>
  <si>
    <t>MICROEMPRESA</t>
  </si>
  <si>
    <t>0-10</t>
  </si>
  <si>
    <t>PEQUEÑA</t>
  </si>
  <si>
    <t>11-50</t>
  </si>
  <si>
    <t>11-30</t>
  </si>
  <si>
    <t>MEDIANA</t>
  </si>
  <si>
    <t>51-250</t>
  </si>
  <si>
    <t>31-100</t>
  </si>
  <si>
    <t>51-100</t>
  </si>
  <si>
    <t>GRANDE</t>
  </si>
  <si>
    <t>251 Y MÁS</t>
  </si>
  <si>
    <t>101 Y MÁS</t>
  </si>
  <si>
    <t>JEE DE DIVISIÓN DE ISIC</t>
  </si>
  <si>
    <r>
      <t xml:space="preserve">NOMBRE DEL EGRESADO TITULADO
</t>
    </r>
    <r>
      <rPr>
        <b/>
        <sz val="8"/>
        <color theme="0"/>
        <rFont val="Calibri"/>
        <family val="2"/>
        <scheme val="minor"/>
      </rPr>
      <t>( Apellido Paterno, Apellido Materno, Nombre(s) )</t>
    </r>
  </si>
  <si>
    <t>OPCIÓN DE TITULACIÓN</t>
  </si>
  <si>
    <t>NOMBRE DEL PROYECTO</t>
  </si>
  <si>
    <r>
      <t xml:space="preserve">FECHA DEL PROCOLO
</t>
    </r>
    <r>
      <rPr>
        <b/>
        <sz val="9"/>
        <color theme="0"/>
        <rFont val="Calibri"/>
        <family val="2"/>
        <scheme val="minor"/>
      </rPr>
      <t>( día/mes/año )</t>
    </r>
  </si>
  <si>
    <t>Titulación Integral / Residencia Profesional</t>
  </si>
  <si>
    <t>Desarrollo de apliación no invasiva para el registro de asistencia mediante RFID y recnocimiento de rostros</t>
  </si>
  <si>
    <t>INDICADOR. Porcentaje de estudiantes en programas de innovación tecnológica</t>
  </si>
  <si>
    <r>
      <t xml:space="preserve">CARRERA
</t>
    </r>
    <r>
      <rPr>
        <b/>
        <sz val="8"/>
        <color theme="0"/>
        <rFont val="Calibri"/>
        <family val="2"/>
        <scheme val="minor"/>
      </rPr>
      <t>( ISIC, IIAL, IIND, ITIC, IGEM, GAST, IINDm )</t>
    </r>
  </si>
  <si>
    <t>PROGRAMA PARTICIPANTE</t>
  </si>
  <si>
    <t>Zombredero Baylon Misael</t>
  </si>
  <si>
    <t>Expoproyectos</t>
  </si>
  <si>
    <t>Satelite de Lata y Vehículo de exploración tipo Rover</t>
  </si>
  <si>
    <t>Aparicio Palacios Francisco</t>
  </si>
  <si>
    <t>Robot de servicio Akira@home</t>
  </si>
  <si>
    <t>Juarez Sotero Gaston</t>
  </si>
  <si>
    <t>Satelite de Lata y Vehículo de exproración tipo Rover</t>
  </si>
  <si>
    <t>Machorro Garcia Claudio</t>
  </si>
  <si>
    <t>Ortiz Paredes Alecsey</t>
  </si>
  <si>
    <t>Flores Rojas Luis Angel</t>
  </si>
  <si>
    <t>Auditoría Informatica y Pentesting para Hacking ético</t>
  </si>
  <si>
    <t>ENLISTAR SOLO PROGRAMAS DE EXPOPROYECTOS, INNOVATEC.</t>
  </si>
  <si>
    <t>Total de Aulas Ocupadas.</t>
  </si>
  <si>
    <t>Total de Aulas Asignadas.</t>
  </si>
  <si>
    <t>Simulación total del sistema operativo</t>
  </si>
  <si>
    <t>25/04/23 al
02/05/23</t>
  </si>
  <si>
    <t>Recopilación del núcleo de un sistema operativo.</t>
  </si>
  <si>
    <t>09/05/23 al
16/05/23</t>
  </si>
  <si>
    <t>Desarrollar los procesos identificados, asegurando las operaciones básicas de todo sistema: registro, actualización, consulta y estadística.</t>
  </si>
  <si>
    <t>Usando un lenguaje de programación establecer la conexión a una base de datos.</t>
  </si>
  <si>
    <t>24/04/2023 al
02/05/2023</t>
  </si>
  <si>
    <t>Implementar la clase Matriz que sobrecargue los operadores +, -, * y / para este tipo de dato definido por el usuario.</t>
  </si>
  <si>
    <t>19/04/2023</t>
  </si>
  <si>
    <t>Programar una aplicación sobre figuras geométricas que implemente la clase base FiguraGeometrica de la cual hereden sus miembros las clases derivadas y que éstas solo especialicen sus características o comportamientos.</t>
  </si>
  <si>
    <t>20/04/2023</t>
  </si>
  <si>
    <t>Implementar constructores y destructores a las clases base y derivadas de la aplicación sobre figuras geométricas para experimentar y comprender su funcionamiento cuando está implicada la herencia.</t>
  </si>
  <si>
    <t>26/04/2023</t>
  </si>
  <si>
    <t>Modificar la clase FiguraGeometrica para convertirla en abstracta y programar al menos un método abstracto que todas las clases derivadas deberán implementar con su propio comportamiento.</t>
  </si>
  <si>
    <t>27/04/2023</t>
  </si>
  <si>
    <t xml:space="preserve">Simulación </t>
  </si>
  <si>
    <t>Implemente en un lenguaje de alto nivel los algoritmos de las variables aleatorias discretas utilizando el archivo de la práctica cuatro y el generador de la práctica dos. Incluya todas las variables en una clase. Hacer un reporte de la práctica.</t>
  </si>
  <si>
    <t>Implemente en un lenguaje de alto nivel los algoritmos de las variables aleatorias continuas utilizando el archivo de la práctica cuatro y el generador de la práctica dos. Incluya todas las variables en la clase de la práctica anterior. Hacer un reporte de la práctica.</t>
  </si>
  <si>
    <t>24/04/2023 al 27/04/2023</t>
  </si>
  <si>
    <t>Configuración TCP/IP en estaciones de trabajo.</t>
  </si>
  <si>
    <t>17/04/2023 al 19/04/2023</t>
  </si>
  <si>
    <t>Realizar diferentes pruebas de interconectividad.</t>
  </si>
  <si>
    <t>24/04/2023 y 26/04/2023</t>
  </si>
  <si>
    <t>Instalar un sistema de monitoreo basado en un protocolo de administración de red.</t>
  </si>
  <si>
    <t>18/04/2023 al 19/04/2023</t>
  </si>
  <si>
    <t>Habilitar un programador de tareas para generar avisos ante eventos predefinidos.</t>
  </si>
  <si>
    <t>25/04/2023 al 26/04/2023</t>
  </si>
  <si>
    <t xml:space="preserve">Administración de servidores de redes </t>
  </si>
  <si>
    <t>Instalar los servidores en Centos (web, de correo, FTP, Base de Datos, DNS, DHCP) </t>
  </si>
  <si>
    <t>18/04/2023 al 27/04/2023</t>
  </si>
  <si>
    <t xml:space="preserve">Seguridad en redes </t>
  </si>
  <si>
    <t>19/04/2023 al 27/04/2023</t>
  </si>
  <si>
    <t>Programar un Analizador Sintáctico</t>
  </si>
  <si>
    <t>Neri Ramirez Daniel</t>
  </si>
  <si>
    <t xml:space="preserve">Repaso de Lógica proposicional </t>
  </si>
  <si>
    <t>17/04/2023</t>
  </si>
  <si>
    <t xml:space="preserve">Realizar programas en prolog </t>
  </si>
  <si>
    <t>24/04/2023</t>
  </si>
  <si>
    <t xml:space="preserve">Metodologias Ágiles </t>
  </si>
  <si>
    <t>Desarrollo de un proyecto usando SCRUM</t>
  </si>
  <si>
    <t>25/04/2023</t>
  </si>
  <si>
    <t>Programació de un robot Humanoide</t>
  </si>
  <si>
    <t>Registro de mercancías por el sistema analítico</t>
  </si>
  <si>
    <t>17/04/2023 al 18/04/2023</t>
  </si>
  <si>
    <t>Acata Sánchez Zenón Elías</t>
  </si>
  <si>
    <t>Aula 16 y 20</t>
  </si>
  <si>
    <t>Registro de mercancías por el sistema de inventarios perpetuos</t>
  </si>
  <si>
    <t>25/04/2023 al 27/04/2023</t>
  </si>
  <si>
    <t>Aula 20 y 16</t>
  </si>
  <si>
    <t>Programación Back y Front end</t>
  </si>
  <si>
    <t>Códigos de estado en HTTP REST</t>
  </si>
  <si>
    <t>Caselín Martínez Leopoldo</t>
  </si>
  <si>
    <t>Programación Web</t>
  </si>
  <si>
    <t xml:space="preserve">Programación del lado del servidor </t>
  </si>
  <si>
    <t xml:space="preserve">Autenticación y seguridad </t>
  </si>
  <si>
    <t>13/04/2023</t>
  </si>
  <si>
    <t xml:space="preserve">Estructuras de control del lado del servidor </t>
  </si>
  <si>
    <t>14/04/2023</t>
  </si>
  <si>
    <t>Progrmación Back y Front end</t>
  </si>
  <si>
    <t>Diseño de una API REST</t>
  </si>
  <si>
    <t xml:space="preserve">Diseño de formularios del lado del servidor </t>
  </si>
  <si>
    <t>18/04/2023</t>
  </si>
  <si>
    <t xml:space="preserve">Implementación de una API Rest en Java </t>
  </si>
  <si>
    <t xml:space="preserve">Manejo de objetos del servidor </t>
  </si>
  <si>
    <t>21/04/2023</t>
  </si>
  <si>
    <t xml:space="preserve">Envío de parametros del diseño de la API </t>
  </si>
  <si>
    <t>24/02/2023</t>
  </si>
  <si>
    <t xml:space="preserve">Creación de clases del sitio web </t>
  </si>
  <si>
    <t xml:space="preserve">Documentación de la API </t>
  </si>
  <si>
    <t xml:space="preserve">Acceso a datos del sitio web </t>
  </si>
  <si>
    <t>Decodificador de 3 bits MPLAB, Proteus</t>
  </si>
  <si>
    <t>23/03/2023</t>
  </si>
  <si>
    <t>Oscilador MPLAB Proteus</t>
  </si>
  <si>
    <t>27/03/2023</t>
  </si>
  <si>
    <t>Prácticas con Kit de Microbit , Barra de Leds</t>
  </si>
  <si>
    <t>Teclado Matricial</t>
  </si>
  <si>
    <t>Acelerometro</t>
  </si>
  <si>
    <t>Jostick</t>
  </si>
  <si>
    <t>Lectura de Puertos</t>
  </si>
  <si>
    <t>24/03/2023</t>
  </si>
  <si>
    <t>Procedimientos en EMU 8086</t>
  </si>
  <si>
    <t>31/03/2023</t>
  </si>
  <si>
    <t>Macros en EMU 8086</t>
  </si>
  <si>
    <t>Compuerta lógica AND MPLAB, Proteus</t>
  </si>
  <si>
    <t>28/04/2023</t>
  </si>
  <si>
    <t>Compuerta lógica OR MPLAB, Proteus</t>
  </si>
  <si>
    <t>Comp. Lógicas y tabla de verdad</t>
  </si>
  <si>
    <t>29/03/2023 al 31/03/2023</t>
  </si>
  <si>
    <t>Algebra de Boole</t>
  </si>
  <si>
    <t>18/04/2023 al 21/04/2023</t>
  </si>
  <si>
    <t>Mapas de Karnaugh</t>
  </si>
  <si>
    <t>Circuitos Secuenciales</t>
  </si>
  <si>
    <t>Aplicar proceso normalización de BD al esquema del caso de estudio de la bitácora digital.</t>
  </si>
  <si>
    <t xml:space="preserve">30/03/23 - 27/04/2023 </t>
  </si>
  <si>
    <t>Creación, manipulación y reorganización de índices en el SGBD y  comprobar funcionamiento de servicio web con roles de usuario</t>
  </si>
  <si>
    <t>Conexión a BD externa usando Android Studio y roles de usuarios.</t>
  </si>
  <si>
    <t>Inicio proyecto integrador: bitácora digital.</t>
  </si>
  <si>
    <t>Seguridad en BD: práctica mirroring postgresql</t>
  </si>
  <si>
    <t>26/04/2023 - 3/05/23</t>
  </si>
  <si>
    <t>Clasificador de objetos</t>
  </si>
  <si>
    <t>Márquez Cabrera Josue Daniel</t>
  </si>
  <si>
    <t>Tesis</t>
  </si>
  <si>
    <t>Automatización de la detección de cambios en la costa del Ártico mediante computación de alto rendimiento , inteligencia artificial e  imágenes satelitales comerciales de alta resolución espaciotemporal</t>
  </si>
  <si>
    <t>Control de acceso con reconocimiento facial en java con Android studio</t>
  </si>
  <si>
    <t>corresponde hasta este mes de abril.</t>
  </si>
  <si>
    <t>Periodo de captura: MAYO 2023.</t>
  </si>
  <si>
    <t>Meta 3, Ind.1 / 2 / 3 en el periodo enero - mayo  2023.</t>
  </si>
  <si>
    <t xml:space="preserve">INDICADOR: Propuesta de evaluación elaborada. / Porcentaje de programas de licenciatura acreditados. / Porcentaje de programas educativos evaluados por organismos reconocidos. </t>
  </si>
  <si>
    <t>Meta 3, Ind. 4 en el periodo enero - mayo 2023.</t>
  </si>
  <si>
    <t>INDICADOR: Porcentaje de estudiantes de licenciatura inscritos en programas acreditados.</t>
  </si>
  <si>
    <t>Meta 4, Ind. 4 E.T.1.2  en el periodo enero - mayo 2023.</t>
  </si>
  <si>
    <t>INDICADOR: Porcentaje de programas académicos con elementos orientados hacia el desarrollo sustentable y la inclusión.</t>
  </si>
  <si>
    <t>Meta 4, Ind. 7 3.1.1 en el  periodo enero - mayo 2023.</t>
  </si>
  <si>
    <t>INDICADOR: Porcentaje de la matrícula de nuevo ingreso que participa en alguno de los programas de primer nivel de atención</t>
  </si>
  <si>
    <t>Meta 4, Ind. 9 / 10  en el periodo enero - mayo 2023.</t>
  </si>
  <si>
    <t xml:space="preserve">INDICADOR: Eficiencia Terminal. (Matricula 2017, 2018) </t>
  </si>
  <si>
    <t>Meta 4, Ind. 11, 12, 13, 14  en el periodo enero - mayo 2023.</t>
  </si>
  <si>
    <t>INDICADOR: Eficiencia de Egreso.  (Generación 2016, 2017, 2018 y 2019)</t>
  </si>
  <si>
    <t>Meta 4, Ind. 15 y  16 en el periodo enero - mayo 2023.</t>
  </si>
  <si>
    <t>INDICADOR: Porcentaje de baja temporal. / Porcentaje de deserción.</t>
  </si>
  <si>
    <t>INDICADOR: Porcentaje de reprobación total o institucional.</t>
  </si>
  <si>
    <t>Meta 4, Ind. 17  en el periodo enero - mayo 2023.</t>
  </si>
  <si>
    <t>Meta 4, Ind. 19 en el periodo enero - mayo 2023.</t>
  </si>
  <si>
    <t>Meta 4, Ind. 20 en el  periodo enero - mayo 2023.</t>
  </si>
  <si>
    <t>INDICADOR: Porcentaje de producto no conforme solventado.</t>
  </si>
  <si>
    <t>Meta 6, Ind. 2 2.2.2  en el periodo enero - mayo 2023.</t>
  </si>
  <si>
    <t xml:space="preserve">INDICADOR: Tasa de variación de la matrícula de licenciatura. </t>
  </si>
  <si>
    <t>Meta 6,  Ind. 8 en el periodo enero - mayo 2023.</t>
  </si>
  <si>
    <t>INDICADOR: Porcentaje de atención a la Demanda en el Primer Semestre de Ing. en Sistemas Computacionales.</t>
  </si>
  <si>
    <t>Meta 8, Ind. 1 Estudiantes que debían participar en Residencia Profesional de la carrera de Ingeniería en Sistemas Computacionales en el periodo enero - mayo 2023.</t>
  </si>
  <si>
    <t>Meta 8, Ind. 1  Estudiantes participantes en Residencia Profesional de la carrera de Ingeniería en Sistemas Computacionales en el periodo  enero - mayo 2023.</t>
  </si>
  <si>
    <t>INDICADOR: Porcentaje de titulación de ISIC.</t>
  </si>
  <si>
    <t>Meta 4, Ind. 9  en el periodo enero  mayo 2023.</t>
  </si>
  <si>
    <t>Meta 10, Ind. 4 en el periodo enero - mayo 2023.</t>
  </si>
  <si>
    <t xml:space="preserve">INDICADOR: Porcentaje de aulas ocupadas. </t>
  </si>
  <si>
    <t>Meta 17, Ind. 3 en el periodo enero - mayo 2023.</t>
  </si>
  <si>
    <t>Programar la interfaz Vehiculo con un conjunto de métodos abstractos que todo vehículo de la vida real debería tener. Programar varias clases que implementen la interfaz anterior y definan el comportamiento particular de sus métodos.</t>
  </si>
  <si>
    <t>Especializar la interfaz Vehiculo en al menos dos subinterfaces (VehiculoTerreste o VehiculoAereo) que agreguen comportamientos abstractos que las clases deberán implementar.</t>
  </si>
  <si>
    <t>.Implementar aplicaciones que almacenen y recuperen información de diferentes tipos de datos simples a través de un archivo de texto para persistir información.</t>
  </si>
  <si>
    <t>.Programar clases que generen excepciones comunes como referencias nulas o desbordamientos numéricos para estudiar su naturaleza, comportamiento,
prevención y lanzamiento.</t>
  </si>
  <si>
    <t>Desarrolle un programa en lenguaje de alto nivel que compruebe las variables aleatorias generadas en la clase final de la práctica ocho; si la hipótesis es rechazada en alguna, regrese a la práctica correspondiente y revise el algoritmo. Hacer un reporte de la práctica.</t>
  </si>
  <si>
    <t>Utilice un simulador o un lenguaje de simulación comercial como Arena, Promodel, WebGPSS, etc. (versión escolar si no se tiene el profesional) para resolver un problema real o hipotético. Hacer un reporte de la práctica.</t>
  </si>
  <si>
    <t>Utilice un lenguaje de alto nivel para simular un sistema de inventarios o de líneas de espera utilizando todos los elementos que requiera de los obtenidos en las prácticas anteriores. Hacer un reporte de la práctica.</t>
  </si>
  <si>
    <t>Realizar pruebas básicas de comunicación entre aplicaciones.</t>
  </si>
  <si>
    <t>Realizar el diseño de una red utilizando herramientas CAD basada en el planteamiento de un problema real.</t>
  </si>
  <si>
    <t>El estudiante instalará un sistema operativo de red configurando su conectividad TCP/IP, así como los servicios que este provea como por ejemplo, el servicio Web, correo electrónico, conexión remota, transferencia de archivos, sistemas de archivos en red, DHCP.</t>
  </si>
  <si>
    <t>Instalación de una entidad emisora de certificados, creación de firmas digitales.</t>
  </si>
  <si>
    <t>El estudiante configurará un sistema de cuotas que administre el uso de espacio en disco por parte de los usuarios que en el sistema él haya creado.</t>
  </si>
  <si>
    <t>Instalar los servidores en Ubuntu (NFS, Servidor Web, Motor de aplicación) </t>
  </si>
  <si>
    <t>Instalar los servidores en Windows Server (WEB (Asp, Php, JSP), Servidor de impresiones.) </t>
  </si>
  <si>
    <t>Configuración del protocolo AAA en diferentes topologías de red. </t>
  </si>
  <si>
    <t>Configuración de firewall en diferentes topologías de red Tema 5 Configuración de dispositivos ASA en diferentes topologías de red </t>
  </si>
  <si>
    <t>03,04,11/05/23</t>
  </si>
  <si>
    <t>17,18,19/05/23</t>
  </si>
  <si>
    <t>24,25/05/23</t>
  </si>
  <si>
    <t>26,31/05/23</t>
  </si>
  <si>
    <t>4,8,11/05/23</t>
  </si>
  <si>
    <t>18,22,25,29/05/23</t>
  </si>
  <si>
    <t>03,08,17/05/23</t>
  </si>
  <si>
    <t>22,24,29,31/05/23</t>
  </si>
  <si>
    <t>02,03,09/05/23</t>
  </si>
  <si>
    <t>16,17,23/05/23</t>
  </si>
  <si>
    <t>24,30,31/05/23</t>
  </si>
  <si>
    <t>02,04,09,11/05/23</t>
  </si>
  <si>
    <t>16,18,23,25,30/05/23</t>
  </si>
  <si>
    <t>03,04,11,17/05/23</t>
  </si>
  <si>
    <t>18,24,25,31/05/23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</si>
</sst>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theme="1"/>
      <name val="Calibri"/>
      <family val="2"/>
      <scheme val="minor"/>
    </font>
    <font>
      <b/>
      <sz val="13"/>
      <color theme="3"/>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9"/>
      <color theme="0"/>
      <name val="Calibri"/>
      <family val="2"/>
      <scheme val="minor"/>
    </font>
    <font>
      <sz val="12"/>
      <color theme="0"/>
      <name val="Calibri"/>
      <family val="2"/>
      <scheme val="minor"/>
    </font>
    <font>
      <b/>
      <sz val="16"/>
      <color theme="0"/>
      <name val="Calibri"/>
      <family val="2"/>
      <scheme val="minor"/>
    </font>
    <font>
      <b/>
      <sz val="9"/>
      <color indexed="81"/>
      <name val="Tahoma"/>
      <family val="2"/>
    </font>
    <font>
      <sz val="9"/>
      <color indexed="81"/>
      <name val="Tahoma"/>
      <family val="2"/>
    </font>
    <font>
      <b/>
      <sz val="11"/>
      <name val="Calibri"/>
      <family val="2"/>
      <scheme val="minor"/>
    </font>
    <font>
      <sz val="8"/>
      <color theme="1"/>
      <name val="Calibri"/>
      <family val="2"/>
      <scheme val="minor"/>
    </font>
    <font>
      <sz val="10"/>
      <color rgb="FF000000"/>
      <name val="Calibri"/>
      <family val="2"/>
    </font>
    <font>
      <sz val="10"/>
      <color theme="1"/>
      <name val="Calibri"/>
      <family val="2"/>
      <scheme val="minor"/>
    </font>
    <font>
      <sz val="11"/>
      <color rgb="FF000000"/>
      <name val="Calibri"/>
      <family val="2"/>
    </font>
    <font>
      <sz val="10"/>
      <color rgb="FF333333"/>
      <name val="Calibri"/>
      <family val="2"/>
    </font>
    <font>
      <sz val="11"/>
      <color rgb="FF000000"/>
      <name val="Candara"/>
      <family val="2"/>
    </font>
    <font>
      <sz val="10"/>
      <color rgb="FF000000"/>
      <name val="Calibri"/>
      <family val="2"/>
      <scheme val="minor"/>
    </font>
    <font>
      <b/>
      <sz val="10"/>
      <color theme="0"/>
      <name val="Calibri"/>
      <family val="2"/>
      <scheme val="minor"/>
    </font>
    <font>
      <b/>
      <sz val="8"/>
      <color theme="0"/>
      <name val="Calibri"/>
      <family val="2"/>
      <scheme val="minor"/>
    </font>
    <font>
      <sz val="11"/>
      <name val="Calibri"/>
      <family val="2"/>
      <scheme val="minor"/>
    </font>
    <font>
      <sz val="9"/>
      <color rgb="FF000000"/>
      <name val="Calibri"/>
      <family val="2"/>
      <scheme val="minor"/>
    </font>
    <font>
      <b/>
      <sz val="8"/>
      <color rgb="FF444444"/>
      <name val="Arial"/>
      <family val="2"/>
    </font>
    <font>
      <sz val="10"/>
      <color theme="1"/>
      <name val="Montserrat Medium"/>
    </font>
    <font>
      <b/>
      <sz val="9"/>
      <name val="Calibri"/>
      <family val="2"/>
      <scheme val="minor"/>
    </font>
    <font>
      <b/>
      <sz val="7"/>
      <name val="Calibri"/>
      <family val="2"/>
      <scheme val="minor"/>
    </font>
    <font>
      <sz val="9"/>
      <name val="Calibri"/>
      <family val="2"/>
      <scheme val="minor"/>
    </font>
    <font>
      <b/>
      <sz val="9"/>
      <color theme="0"/>
      <name val="Calibri"/>
      <family val="2"/>
      <scheme val="minor"/>
    </font>
    <font>
      <sz val="10"/>
      <name val="Calibri"/>
      <family val="2"/>
      <scheme val="minor"/>
    </font>
    <font>
      <sz val="9"/>
      <color rgb="FF555555"/>
      <name val="Open Sans"/>
      <family val="2"/>
    </font>
    <font>
      <b/>
      <sz val="9"/>
      <color rgb="FF555555"/>
      <name val="Open Sans"/>
      <family val="2"/>
    </font>
    <font>
      <sz val="12"/>
      <name val="Calibri"/>
      <family val="2"/>
      <scheme val="minor"/>
    </font>
    <font>
      <sz val="9"/>
      <color rgb="FF000000"/>
      <name val="Calibri"/>
      <family val="2"/>
    </font>
  </fonts>
  <fills count="14">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4"/>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FFCC"/>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79998168889431442"/>
        <bgColor indexed="64"/>
      </patternFill>
    </fill>
  </fills>
  <borders count="38">
    <border>
      <left/>
      <right/>
      <top/>
      <bottom/>
      <diagonal/>
    </border>
    <border>
      <left/>
      <right/>
      <top/>
      <bottom style="thick">
        <color theme="4" tint="0.499984740745262"/>
      </bottom>
      <diagonal/>
    </border>
    <border>
      <left/>
      <right/>
      <top/>
      <bottom style="thick">
        <color rgb="FFA7BFDE"/>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ck">
        <color rgb="FFA7BFDE"/>
      </left>
      <right style="thick">
        <color rgb="FFA7BFDE"/>
      </right>
      <top style="thick">
        <color rgb="FFA7BFDE"/>
      </top>
      <bottom style="thick">
        <color rgb="FFA7BFDE"/>
      </bottom>
      <diagonal/>
    </border>
    <border>
      <left style="thick">
        <color rgb="FFA7BFDE"/>
      </left>
      <right/>
      <top style="thick">
        <color rgb="FFA7BFDE"/>
      </top>
      <bottom style="thick">
        <color rgb="FFA7BFDE"/>
      </bottom>
      <diagonal/>
    </border>
    <border>
      <left/>
      <right/>
      <top style="thick">
        <color rgb="FFA7BFDE"/>
      </top>
      <bottom style="thick">
        <color rgb="FFA7BFDE"/>
      </bottom>
      <diagonal/>
    </border>
    <border>
      <left/>
      <right style="thick">
        <color rgb="FFA7BFDE"/>
      </right>
      <top style="thick">
        <color rgb="FFA7BFDE"/>
      </top>
      <bottom style="thick">
        <color rgb="FFA7BFDE"/>
      </bottom>
      <diagonal/>
    </border>
    <border>
      <left style="thick">
        <color rgb="FFA7BFDE"/>
      </left>
      <right style="thick">
        <color rgb="FFA7BFDE"/>
      </right>
      <top style="thick">
        <color rgb="FFA7BFDE"/>
      </top>
      <bottom/>
      <diagonal/>
    </border>
    <border>
      <left style="thick">
        <color rgb="FFA7BFDE"/>
      </left>
      <right/>
      <top style="thick">
        <color rgb="FFA7BFDE"/>
      </top>
      <bottom/>
      <diagonal/>
    </border>
    <border>
      <left/>
      <right/>
      <top style="thick">
        <color rgb="FFA7BFDE"/>
      </top>
      <bottom/>
      <diagonal/>
    </border>
    <border>
      <left/>
      <right style="thick">
        <color rgb="FFA7BFDE"/>
      </right>
      <top style="thick">
        <color rgb="FFA7BFDE"/>
      </top>
      <bottom/>
      <diagonal/>
    </border>
    <border>
      <left style="thick">
        <color rgb="FFA7BFDE"/>
      </left>
      <right style="thick">
        <color rgb="FFA7BFDE"/>
      </right>
      <top/>
      <bottom style="thick">
        <color rgb="FFA7BFDE"/>
      </bottom>
      <diagonal/>
    </border>
    <border>
      <left style="thick">
        <color rgb="FFA7BFDE"/>
      </left>
      <right/>
      <top/>
      <bottom style="thick">
        <color rgb="FFA7BFDE"/>
      </bottom>
      <diagonal/>
    </border>
    <border>
      <left/>
      <right style="thick">
        <color rgb="FFA7BFDE"/>
      </right>
      <top/>
      <bottom style="thick">
        <color rgb="FFA7BFDE"/>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bottom style="thin">
        <color rgb="FF000000"/>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0" fontId="1" fillId="0" borderId="0"/>
  </cellStyleXfs>
  <cellXfs count="241">
    <xf numFmtId="0" fontId="0" fillId="0" borderId="0" xfId="0"/>
    <xf numFmtId="0" fontId="5"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xf numFmtId="0" fontId="1" fillId="0" borderId="0" xfId="0" applyFont="1"/>
    <xf numFmtId="0" fontId="7" fillId="0" borderId="0" xfId="0" applyFont="1" applyAlignment="1">
      <alignment vertical="center"/>
    </xf>
    <xf numFmtId="0" fontId="8" fillId="2" borderId="2" xfId="2" applyFont="1" applyFill="1" applyBorder="1" applyAlignment="1">
      <alignment vertical="center"/>
    </xf>
    <xf numFmtId="0" fontId="8" fillId="0" borderId="2" xfId="2" applyFont="1" applyFill="1" applyBorder="1" applyAlignment="1">
      <alignment vertical="center"/>
    </xf>
    <xf numFmtId="0" fontId="9" fillId="0" borderId="2" xfId="2" applyFont="1" applyFill="1" applyBorder="1" applyAlignment="1">
      <alignment vertical="center"/>
    </xf>
    <xf numFmtId="0" fontId="1" fillId="0" borderId="0" xfId="3"/>
    <xf numFmtId="0" fontId="3" fillId="4" borderId="4" xfId="3" applyFont="1" applyFill="1" applyBorder="1" applyAlignment="1">
      <alignment horizontal="center" vertical="center" wrapText="1"/>
    </xf>
    <xf numFmtId="0" fontId="10" fillId="4" borderId="5" xfId="3" applyFont="1" applyFill="1" applyBorder="1" applyAlignment="1">
      <alignment horizontal="center" vertical="center" wrapText="1"/>
    </xf>
    <xf numFmtId="0" fontId="1" fillId="0" borderId="0" xfId="3" applyAlignment="1">
      <alignment horizontal="center" vertical="center" wrapText="1"/>
    </xf>
    <xf numFmtId="0" fontId="5" fillId="0" borderId="5" xfId="3" applyFont="1" applyBorder="1" applyAlignment="1">
      <alignment horizontal="center" vertical="center" wrapText="1"/>
    </xf>
    <xf numFmtId="0" fontId="1" fillId="5" borderId="6" xfId="3" applyFill="1" applyBorder="1" applyAlignment="1">
      <alignment horizontal="center" vertical="center" wrapText="1"/>
    </xf>
    <xf numFmtId="0" fontId="1" fillId="0" borderId="5" xfId="3" applyBorder="1" applyAlignment="1">
      <alignment horizontal="center" vertical="center" wrapText="1"/>
    </xf>
    <xf numFmtId="14" fontId="1" fillId="0" borderId="5" xfId="3" applyNumberFormat="1" applyBorder="1" applyAlignment="1">
      <alignment horizontal="center" vertical="center" wrapText="1"/>
    </xf>
    <xf numFmtId="0" fontId="3" fillId="4"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5" fillId="0" borderId="5" xfId="0" applyFont="1" applyBorder="1" applyAlignment="1">
      <alignment horizontal="center" vertical="center" wrapText="1"/>
    </xf>
    <xf numFmtId="0" fontId="0" fillId="0" borderId="6" xfId="0" applyBorder="1" applyAlignment="1">
      <alignment horizontal="center" vertical="center" wrapText="1"/>
    </xf>
    <xf numFmtId="14" fontId="0" fillId="0" borderId="5" xfId="0" applyNumberFormat="1" applyBorder="1" applyAlignment="1">
      <alignment horizontal="center" vertical="center" wrapText="1"/>
    </xf>
    <xf numFmtId="0" fontId="5" fillId="0" borderId="8" xfId="0" applyFont="1" applyBorder="1" applyAlignment="1">
      <alignment horizontal="center" vertical="center" wrapText="1"/>
    </xf>
    <xf numFmtId="0" fontId="0" fillId="0" borderId="0" xfId="0" applyAlignment="1">
      <alignment vertical="center"/>
    </xf>
    <xf numFmtId="0" fontId="13" fillId="6" borderId="0" xfId="0" applyFont="1" applyFill="1" applyAlignment="1">
      <alignment horizontal="left" vertical="center"/>
    </xf>
    <xf numFmtId="0" fontId="13" fillId="6" borderId="0" xfId="0" applyFont="1" applyFill="1" applyAlignment="1">
      <alignment horizontal="left" vertical="center" wrapText="1"/>
    </xf>
    <xf numFmtId="0" fontId="13" fillId="0" borderId="0" xfId="0" applyFont="1" applyAlignment="1">
      <alignment horizontal="left" vertical="center" wrapText="1"/>
    </xf>
    <xf numFmtId="0" fontId="7" fillId="0" borderId="9" xfId="0" applyFont="1" applyBorder="1" applyAlignment="1">
      <alignment horizontal="center"/>
    </xf>
    <xf numFmtId="14" fontId="7" fillId="7" borderId="13" xfId="0" applyNumberFormat="1" applyFont="1" applyFill="1" applyBorder="1" applyAlignment="1">
      <alignment horizontal="center" vertical="center"/>
    </xf>
    <xf numFmtId="0" fontId="7" fillId="7" borderId="17" xfId="0" applyFont="1" applyFill="1" applyBorder="1" applyAlignment="1">
      <alignment horizontal="center" vertical="center"/>
    </xf>
    <xf numFmtId="0" fontId="4" fillId="3" borderId="3" xfId="0" applyFont="1" applyFill="1" applyBorder="1" applyAlignment="1">
      <alignment horizontal="center" vertical="center"/>
    </xf>
    <xf numFmtId="0" fontId="3" fillId="4" borderId="5" xfId="0" applyFont="1" applyFill="1" applyBorder="1" applyAlignment="1">
      <alignment horizontal="center" vertical="center"/>
    </xf>
    <xf numFmtId="0" fontId="0" fillId="0" borderId="0" xfId="0" applyAlignment="1">
      <alignment horizontal="center" vertical="center"/>
    </xf>
    <xf numFmtId="0" fontId="15" fillId="5" borderId="5" xfId="0" applyFont="1" applyFill="1" applyBorder="1" applyAlignment="1">
      <alignment wrapText="1"/>
    </xf>
    <xf numFmtId="0" fontId="15" fillId="5" borderId="6" xfId="0" applyFont="1" applyFill="1" applyBorder="1" applyAlignment="1">
      <alignment wrapText="1"/>
    </xf>
    <xf numFmtId="14" fontId="15" fillId="5" borderId="6" xfId="0" applyNumberFormat="1" applyFont="1" applyFill="1" applyBorder="1" applyAlignment="1">
      <alignment wrapText="1"/>
    </xf>
    <xf numFmtId="0" fontId="16" fillId="0" borderId="0" xfId="0" applyFont="1" applyAlignment="1">
      <alignment horizontal="center" vertical="center" wrapText="1"/>
    </xf>
    <xf numFmtId="0" fontId="17" fillId="5" borderId="20" xfId="0" applyFont="1" applyFill="1" applyBorder="1" applyAlignment="1">
      <alignment wrapText="1"/>
    </xf>
    <xf numFmtId="0" fontId="15" fillId="5" borderId="21" xfId="0" applyFont="1" applyFill="1" applyBorder="1" applyAlignment="1">
      <alignment wrapText="1"/>
    </xf>
    <xf numFmtId="0" fontId="15" fillId="5" borderId="20" xfId="0" applyFont="1" applyFill="1" applyBorder="1" applyAlignment="1">
      <alignment wrapText="1"/>
    </xf>
    <xf numFmtId="14" fontId="15" fillId="5" borderId="21" xfId="0" applyNumberFormat="1" applyFont="1" applyFill="1" applyBorder="1" applyAlignment="1">
      <alignment wrapText="1"/>
    </xf>
    <xf numFmtId="0" fontId="18" fillId="5" borderId="21" xfId="0" applyFont="1" applyFill="1" applyBorder="1" applyAlignment="1">
      <alignment wrapText="1"/>
    </xf>
    <xf numFmtId="0" fontId="15" fillId="5" borderId="22" xfId="0" applyFont="1" applyFill="1" applyBorder="1" applyAlignment="1">
      <alignment wrapText="1"/>
    </xf>
    <xf numFmtId="0" fontId="15" fillId="5" borderId="23" xfId="0" applyFont="1" applyFill="1" applyBorder="1" applyAlignment="1">
      <alignment wrapText="1"/>
    </xf>
    <xf numFmtId="0" fontId="16" fillId="0" borderId="0" xfId="0" applyFont="1" applyAlignment="1">
      <alignment wrapText="1"/>
    </xf>
    <xf numFmtId="0" fontId="17" fillId="5" borderId="6" xfId="0" applyFont="1" applyFill="1" applyBorder="1" applyAlignment="1">
      <alignment wrapText="1"/>
    </xf>
    <xf numFmtId="0" fontId="17" fillId="5" borderId="21" xfId="0" applyFont="1" applyFill="1" applyBorder="1" applyAlignment="1">
      <alignment wrapText="1"/>
    </xf>
    <xf numFmtId="0" fontId="19" fillId="5" borderId="21" xfId="0" applyFont="1" applyFill="1" applyBorder="1" applyAlignment="1">
      <alignment wrapText="1"/>
    </xf>
    <xf numFmtId="0" fontId="15" fillId="5" borderId="24" xfId="0" applyFont="1" applyFill="1" applyBorder="1" applyAlignment="1">
      <alignment wrapText="1"/>
    </xf>
    <xf numFmtId="0" fontId="15" fillId="5" borderId="26" xfId="0" applyFont="1" applyFill="1" applyBorder="1" applyAlignment="1">
      <alignment wrapText="1"/>
    </xf>
    <xf numFmtId="0" fontId="15" fillId="5" borderId="0" xfId="0" applyFont="1" applyFill="1"/>
    <xf numFmtId="0" fontId="16" fillId="0" borderId="5" xfId="0" applyFont="1" applyBorder="1" applyAlignment="1">
      <alignment horizontal="center" vertical="center"/>
    </xf>
    <xf numFmtId="0" fontId="0" fillId="5" borderId="6" xfId="0" applyFill="1" applyBorder="1" applyAlignment="1">
      <alignment horizontal="center" vertical="center" wrapText="1"/>
    </xf>
    <xf numFmtId="0" fontId="0" fillId="5" borderId="5" xfId="0" applyFill="1" applyBorder="1" applyAlignment="1">
      <alignment horizontal="center" vertical="center" wrapText="1"/>
    </xf>
    <xf numFmtId="0" fontId="4" fillId="0" borderId="5" xfId="0" applyFont="1" applyBorder="1" applyAlignment="1">
      <alignment horizontal="center" vertical="center"/>
    </xf>
    <xf numFmtId="0" fontId="23" fillId="0" borderId="5" xfId="0" applyFont="1" applyBorder="1" applyAlignment="1">
      <alignment vertical="center"/>
    </xf>
    <xf numFmtId="0" fontId="23" fillId="0" borderId="5" xfId="0" applyFont="1" applyBorder="1" applyAlignment="1">
      <alignment horizontal="center" vertical="center"/>
    </xf>
    <xf numFmtId="0" fontId="23" fillId="0" borderId="4" xfId="0" applyFont="1" applyBorder="1" applyAlignment="1">
      <alignment vertical="center"/>
    </xf>
    <xf numFmtId="0" fontId="0" fillId="0" borderId="5" xfId="0" applyBorder="1" applyAlignment="1">
      <alignment vertical="center"/>
    </xf>
    <xf numFmtId="0" fontId="0" fillId="0" borderId="5" xfId="0" applyBorder="1" applyAlignment="1">
      <alignment horizontal="center" vertical="center"/>
    </xf>
    <xf numFmtId="0" fontId="23" fillId="0" borderId="5" xfId="1" applyNumberFormat="1" applyFont="1" applyFill="1" applyBorder="1" applyAlignment="1">
      <alignment horizontal="center" vertical="center"/>
    </xf>
    <xf numFmtId="0" fontId="23" fillId="0" borderId="6" xfId="0" applyFont="1" applyBorder="1" applyAlignment="1">
      <alignment horizontal="center" vertical="center"/>
    </xf>
    <xf numFmtId="0" fontId="4" fillId="5" borderId="5" xfId="0" applyFont="1" applyFill="1" applyBorder="1" applyAlignment="1">
      <alignment horizontal="center" vertical="center"/>
    </xf>
    <xf numFmtId="0" fontId="23" fillId="5" borderId="5" xfId="0" applyFont="1" applyFill="1" applyBorder="1" applyAlignment="1">
      <alignment vertical="center"/>
    </xf>
    <xf numFmtId="0" fontId="23" fillId="5" borderId="5" xfId="0" applyFont="1" applyFill="1" applyBorder="1" applyAlignment="1">
      <alignment horizontal="center" vertical="center"/>
    </xf>
    <xf numFmtId="14" fontId="23" fillId="5" borderId="5" xfId="0" applyNumberFormat="1" applyFont="1" applyFill="1" applyBorder="1" applyAlignment="1">
      <alignment horizontal="center" vertical="center"/>
    </xf>
    <xf numFmtId="0" fontId="0" fillId="5" borderId="5" xfId="0" applyFill="1" applyBorder="1" applyAlignment="1">
      <alignment vertical="center"/>
    </xf>
    <xf numFmtId="0" fontId="24" fillId="5" borderId="5" xfId="0" applyFont="1" applyFill="1" applyBorder="1" applyAlignment="1">
      <alignment horizontal="center"/>
    </xf>
    <xf numFmtId="0" fontId="24" fillId="5" borderId="5" xfId="0" applyFont="1" applyFill="1" applyBorder="1"/>
    <xf numFmtId="0" fontId="0" fillId="8" borderId="5" xfId="0" applyFill="1" applyBorder="1" applyAlignment="1">
      <alignment horizontal="center" vertical="center"/>
    </xf>
    <xf numFmtId="0" fontId="0" fillId="8" borderId="5" xfId="0" applyFill="1" applyBorder="1" applyAlignment="1">
      <alignment vertical="center"/>
    </xf>
    <xf numFmtId="0" fontId="0" fillId="8" borderId="5" xfId="0" applyFill="1" applyBorder="1" applyAlignment="1">
      <alignment horizontal="center" vertical="center" wrapText="1"/>
    </xf>
    <xf numFmtId="0" fontId="4" fillId="0" borderId="5" xfId="0" applyFont="1" applyBorder="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center" vertical="center"/>
    </xf>
    <xf numFmtId="0" fontId="8" fillId="2" borderId="2" xfId="2" applyFont="1" applyFill="1" applyBorder="1" applyAlignment="1">
      <alignment horizontal="center" vertical="center"/>
    </xf>
    <xf numFmtId="0" fontId="7" fillId="0" borderId="9" xfId="0" applyFont="1" applyBorder="1" applyAlignment="1">
      <alignment horizontal="center" vertical="center"/>
    </xf>
    <xf numFmtId="0" fontId="13" fillId="6" borderId="0" xfId="0" applyFont="1" applyFill="1" applyAlignment="1">
      <alignment horizontal="center" vertical="center" wrapText="1"/>
    </xf>
    <xf numFmtId="0" fontId="7" fillId="0" borderId="9" xfId="0" applyFont="1" applyBorder="1" applyAlignment="1">
      <alignment vertical="center"/>
    </xf>
    <xf numFmtId="0" fontId="14" fillId="0" borderId="13" xfId="0" applyFont="1" applyBorder="1" applyAlignment="1">
      <alignment horizontal="center" vertical="center" wrapText="1"/>
    </xf>
    <xf numFmtId="0" fontId="14" fillId="0" borderId="17" xfId="0" applyFont="1" applyBorder="1" applyAlignment="1">
      <alignment horizontal="center" vertical="center" wrapText="1"/>
    </xf>
    <xf numFmtId="0" fontId="25" fillId="5" borderId="5" xfId="0" applyFont="1" applyFill="1" applyBorder="1" applyAlignment="1">
      <alignment horizontal="center" vertical="center" wrapText="1"/>
    </xf>
    <xf numFmtId="0" fontId="4" fillId="0" borderId="0" xfId="0" applyFont="1" applyAlignment="1">
      <alignment horizontal="center" vertical="center"/>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0" borderId="0" xfId="0" applyFont="1" applyAlignment="1">
      <alignment horizontal="center" vertical="center" wrapText="1"/>
    </xf>
    <xf numFmtId="0" fontId="25" fillId="0" borderId="5" xfId="0" applyFont="1" applyBorder="1" applyAlignment="1">
      <alignment horizontal="center" vertical="center" wrapText="1"/>
    </xf>
    <xf numFmtId="0" fontId="4" fillId="0" borderId="6" xfId="0" applyFont="1" applyBorder="1" applyAlignment="1">
      <alignment horizontal="center" vertical="center" wrapText="1"/>
    </xf>
    <xf numFmtId="49" fontId="4" fillId="0" borderId="5" xfId="0" applyNumberFormat="1" applyFont="1" applyBorder="1" applyAlignment="1">
      <alignment horizontal="center" vertical="center" wrapText="1"/>
    </xf>
    <xf numFmtId="49" fontId="0" fillId="0" borderId="5" xfId="0" applyNumberFormat="1" applyBorder="1" applyAlignment="1">
      <alignment horizontal="center" vertical="center" wrapText="1"/>
    </xf>
    <xf numFmtId="0" fontId="0" fillId="0" borderId="5" xfId="0" applyBorder="1" applyAlignment="1">
      <alignment horizontal="left" vertical="center" wrapText="1"/>
    </xf>
    <xf numFmtId="0" fontId="26" fillId="0" borderId="0" xfId="0" applyFont="1"/>
    <xf numFmtId="0" fontId="0" fillId="0" borderId="0" xfId="0" applyAlignment="1">
      <alignment horizontal="left" vertical="center" wrapText="1"/>
    </xf>
    <xf numFmtId="0" fontId="27" fillId="3" borderId="5" xfId="0" applyFont="1" applyFill="1" applyBorder="1" applyAlignment="1">
      <alignment horizontal="center" vertical="center" wrapText="1"/>
    </xf>
    <xf numFmtId="0" fontId="29" fillId="0" borderId="5" xfId="0" applyFont="1" applyBorder="1" applyAlignment="1">
      <alignment horizontal="center" vertical="center" wrapText="1"/>
    </xf>
    <xf numFmtId="17" fontId="29" fillId="0" borderId="5" xfId="0" quotePrefix="1" applyNumberFormat="1" applyFont="1" applyBorder="1" applyAlignment="1">
      <alignment horizontal="center" vertical="center" wrapText="1"/>
    </xf>
    <xf numFmtId="0" fontId="29" fillId="0" borderId="5" xfId="0" quotePrefix="1" applyFont="1" applyBorder="1" applyAlignment="1">
      <alignment horizontal="center" vertical="center" wrapText="1"/>
    </xf>
    <xf numFmtId="17" fontId="8" fillId="2" borderId="2" xfId="2" applyNumberFormat="1" applyFont="1" applyFill="1" applyBorder="1" applyAlignment="1">
      <alignment vertical="center"/>
    </xf>
    <xf numFmtId="0" fontId="7" fillId="0" borderId="9" xfId="0" applyFont="1" applyBorder="1"/>
    <xf numFmtId="0" fontId="0" fillId="0" borderId="0" xfId="0" applyAlignment="1">
      <alignment vertical="center" wrapText="1"/>
    </xf>
    <xf numFmtId="0" fontId="6" fillId="5" borderId="5" xfId="0" applyFont="1" applyFill="1" applyBorder="1" applyAlignment="1">
      <alignment horizontal="center" vertical="center" wrapText="1"/>
    </xf>
    <xf numFmtId="0" fontId="0" fillId="5" borderId="4" xfId="0" applyFill="1" applyBorder="1" applyAlignment="1">
      <alignment horizontal="center" vertical="center" wrapText="1"/>
    </xf>
    <xf numFmtId="14" fontId="0" fillId="5" borderId="5" xfId="0" applyNumberFormat="1" applyFill="1" applyBorder="1" applyAlignment="1">
      <alignment horizontal="right"/>
    </xf>
    <xf numFmtId="0" fontId="0" fillId="5" borderId="5" xfId="0" applyFill="1" applyBorder="1"/>
    <xf numFmtId="0" fontId="6" fillId="0" borderId="0" xfId="0" applyFont="1"/>
    <xf numFmtId="0" fontId="6" fillId="0" borderId="0" xfId="0" applyFont="1" applyAlignment="1">
      <alignment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0" fillId="0" borderId="4" xfId="0" applyBorder="1" applyAlignment="1">
      <alignment horizontal="center" vertical="center" wrapText="1"/>
    </xf>
    <xf numFmtId="14" fontId="0" fillId="0" borderId="5" xfId="0" applyNumberFormat="1" applyBorder="1" applyAlignment="1">
      <alignment horizontal="right"/>
    </xf>
    <xf numFmtId="0" fontId="0" fillId="0" borderId="5" xfId="0" applyBorder="1"/>
    <xf numFmtId="0" fontId="6" fillId="0" borderId="9" xfId="0" applyFont="1" applyBorder="1" applyAlignment="1">
      <alignment horizontal="center" vertical="center"/>
    </xf>
    <xf numFmtId="0" fontId="0" fillId="0" borderId="0" xfId="0" applyAlignment="1">
      <alignment wrapText="1"/>
    </xf>
    <xf numFmtId="0" fontId="31" fillId="5" borderId="5" xfId="0" applyFont="1" applyFill="1" applyBorder="1" applyAlignment="1">
      <alignment horizontal="center" vertical="center"/>
    </xf>
    <xf numFmtId="0" fontId="32" fillId="5" borderId="5" xfId="0" applyFont="1" applyFill="1" applyBorder="1" applyAlignment="1">
      <alignment horizontal="center" vertical="center"/>
    </xf>
    <xf numFmtId="0" fontId="33" fillId="5" borderId="5"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5" xfId="0" applyFont="1" applyFill="1" applyBorder="1" applyAlignment="1">
      <alignment horizontal="center" vertical="center"/>
    </xf>
    <xf numFmtId="0" fontId="31" fillId="0" borderId="5" xfId="0" applyFont="1" applyBorder="1" applyAlignment="1">
      <alignment horizontal="center" vertical="center"/>
    </xf>
    <xf numFmtId="0" fontId="32" fillId="0" borderId="5" xfId="0" applyFont="1" applyBorder="1" applyAlignment="1">
      <alignment horizontal="center" vertical="center"/>
    </xf>
    <xf numFmtId="0" fontId="33" fillId="0" borderId="5" xfId="0" applyFont="1" applyBorder="1" applyAlignment="1">
      <alignment horizontal="center" vertical="center"/>
    </xf>
    <xf numFmtId="0" fontId="6" fillId="0" borderId="5" xfId="0" applyFont="1" applyBorder="1" applyAlignment="1">
      <alignment horizontal="center" vertical="center"/>
    </xf>
    <xf numFmtId="0" fontId="34" fillId="0" borderId="5" xfId="0" applyFont="1"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6" fillId="0" borderId="5" xfId="0" applyFont="1" applyBorder="1" applyAlignment="1">
      <alignment horizontal="center"/>
    </xf>
    <xf numFmtId="0" fontId="6" fillId="0" borderId="5" xfId="0" applyFont="1" applyBorder="1"/>
    <xf numFmtId="0" fontId="6" fillId="0" borderId="5" xfId="0" applyFont="1" applyBorder="1" applyAlignment="1">
      <alignment horizontal="center" wrapText="1"/>
    </xf>
    <xf numFmtId="0" fontId="15" fillId="10" borderId="5" xfId="0" applyFont="1" applyFill="1" applyBorder="1" applyAlignment="1">
      <alignment wrapText="1"/>
    </xf>
    <xf numFmtId="0" fontId="15" fillId="10" borderId="6" xfId="0" applyFont="1" applyFill="1" applyBorder="1" applyAlignment="1">
      <alignment wrapText="1"/>
    </xf>
    <xf numFmtId="0" fontId="15" fillId="10" borderId="6" xfId="0" applyFont="1" applyFill="1" applyBorder="1" applyAlignment="1">
      <alignment horizontal="center" wrapText="1"/>
    </xf>
    <xf numFmtId="0" fontId="15" fillId="10" borderId="20" xfId="0" applyFont="1" applyFill="1" applyBorder="1" applyAlignment="1">
      <alignment wrapText="1"/>
    </xf>
    <xf numFmtId="0" fontId="15" fillId="10" borderId="21" xfId="0" applyFont="1" applyFill="1" applyBorder="1" applyAlignment="1">
      <alignment wrapText="1"/>
    </xf>
    <xf numFmtId="0" fontId="15" fillId="10" borderId="21" xfId="0" applyFont="1" applyFill="1" applyBorder="1" applyAlignment="1">
      <alignment horizontal="center" wrapText="1"/>
    </xf>
    <xf numFmtId="0" fontId="15" fillId="10" borderId="24" xfId="0" applyFont="1" applyFill="1" applyBorder="1" applyAlignment="1">
      <alignment wrapText="1"/>
    </xf>
    <xf numFmtId="0" fontId="15" fillId="10" borderId="5" xfId="0" applyFont="1" applyFill="1" applyBorder="1" applyAlignment="1">
      <alignment horizontal="center" wrapText="1"/>
    </xf>
    <xf numFmtId="0" fontId="15" fillId="10" borderId="31" xfId="0" applyFont="1" applyFill="1" applyBorder="1" applyAlignment="1">
      <alignment wrapText="1"/>
    </xf>
    <xf numFmtId="0" fontId="15" fillId="10" borderId="32" xfId="0" applyFont="1" applyFill="1" applyBorder="1" applyAlignment="1">
      <alignment wrapText="1"/>
    </xf>
    <xf numFmtId="0" fontId="15" fillId="10" borderId="20" xfId="0" applyFont="1" applyFill="1" applyBorder="1" applyAlignment="1">
      <alignment horizontal="center" wrapText="1"/>
    </xf>
    <xf numFmtId="0" fontId="35" fillId="10" borderId="33" xfId="0" applyFont="1" applyFill="1" applyBorder="1" applyAlignment="1">
      <alignment wrapText="1"/>
    </xf>
    <xf numFmtId="0" fontId="35" fillId="10" borderId="34" xfId="0" applyFont="1" applyFill="1" applyBorder="1" applyAlignment="1">
      <alignment wrapText="1"/>
    </xf>
    <xf numFmtId="0" fontId="15" fillId="10" borderId="35" xfId="0" applyFont="1" applyFill="1" applyBorder="1" applyAlignment="1">
      <alignment wrapText="1"/>
    </xf>
    <xf numFmtId="0" fontId="15" fillId="10" borderId="36" xfId="0" applyFont="1" applyFill="1" applyBorder="1" applyAlignment="1">
      <alignment wrapText="1"/>
    </xf>
    <xf numFmtId="0" fontId="18" fillId="10" borderId="36" xfId="0" applyFont="1" applyFill="1" applyBorder="1" applyAlignment="1">
      <alignment wrapText="1"/>
    </xf>
    <xf numFmtId="0" fontId="18" fillId="10" borderId="37" xfId="0" applyFont="1" applyFill="1" applyBorder="1" applyAlignment="1">
      <alignment wrapText="1"/>
    </xf>
    <xf numFmtId="0" fontId="15" fillId="10" borderId="22" xfId="0" applyFont="1" applyFill="1" applyBorder="1" applyAlignment="1">
      <alignment wrapText="1"/>
    </xf>
    <xf numFmtId="14" fontId="15" fillId="10" borderId="6" xfId="0" applyNumberFormat="1" applyFont="1" applyFill="1" applyBorder="1" applyAlignment="1">
      <alignment horizontal="center" wrapText="1"/>
    </xf>
    <xf numFmtId="14" fontId="15" fillId="10" borderId="21" xfId="0" applyNumberFormat="1" applyFont="1" applyFill="1" applyBorder="1" applyAlignment="1">
      <alignment horizontal="center" wrapText="1"/>
    </xf>
    <xf numFmtId="0" fontId="18" fillId="10" borderId="21" xfId="0" applyFont="1" applyFill="1" applyBorder="1" applyAlignment="1">
      <alignment wrapText="1"/>
    </xf>
    <xf numFmtId="0" fontId="15" fillId="10" borderId="0" xfId="0" applyFont="1" applyFill="1"/>
    <xf numFmtId="0" fontId="20" fillId="10" borderId="5" xfId="0" applyFont="1" applyFill="1" applyBorder="1" applyAlignment="1">
      <alignment horizontal="left" vertical="center" wrapText="1"/>
    </xf>
    <xf numFmtId="0" fontId="16" fillId="10" borderId="5" xfId="0" applyFont="1" applyFill="1" applyBorder="1" applyAlignment="1">
      <alignment horizontal="center" vertical="center" wrapText="1"/>
    </xf>
    <xf numFmtId="14" fontId="20" fillId="10" borderId="5" xfId="0" applyNumberFormat="1" applyFont="1" applyFill="1" applyBorder="1" applyAlignment="1">
      <alignment horizontal="center" vertical="center" wrapText="1"/>
    </xf>
    <xf numFmtId="0" fontId="20" fillId="10" borderId="5" xfId="0" applyFont="1" applyFill="1" applyBorder="1" applyAlignment="1">
      <alignment horizontal="center" vertical="center" wrapText="1"/>
    </xf>
    <xf numFmtId="0" fontId="4" fillId="10" borderId="5" xfId="0" applyFont="1" applyFill="1" applyBorder="1" applyAlignment="1">
      <alignment horizontal="center" vertical="center"/>
    </xf>
    <xf numFmtId="0" fontId="0" fillId="10" borderId="5" xfId="0" applyFill="1" applyBorder="1" applyAlignment="1">
      <alignment vertical="center"/>
    </xf>
    <xf numFmtId="0" fontId="23" fillId="10" borderId="5" xfId="0" applyFont="1" applyFill="1" applyBorder="1" applyAlignment="1">
      <alignment horizontal="center" vertical="center"/>
    </xf>
    <xf numFmtId="14" fontId="23" fillId="10" borderId="5" xfId="0" applyNumberFormat="1" applyFont="1" applyFill="1" applyBorder="1" applyAlignment="1">
      <alignment horizontal="center" vertical="center"/>
    </xf>
    <xf numFmtId="0" fontId="23" fillId="10" borderId="5" xfId="1" applyNumberFormat="1" applyFont="1" applyFill="1" applyBorder="1" applyAlignment="1">
      <alignment horizontal="center" vertical="center"/>
    </xf>
    <xf numFmtId="0" fontId="23" fillId="10" borderId="6" xfId="0" applyFont="1" applyFill="1" applyBorder="1" applyAlignment="1">
      <alignment horizontal="center" vertical="center"/>
    </xf>
    <xf numFmtId="0" fontId="23" fillId="10" borderId="5" xfId="0" applyFont="1" applyFill="1" applyBorder="1" applyAlignment="1">
      <alignment vertical="center"/>
    </xf>
    <xf numFmtId="0" fontId="6" fillId="10" borderId="5" xfId="0" applyFont="1" applyFill="1" applyBorder="1" applyAlignment="1">
      <alignment horizontal="center" vertical="center" wrapText="1"/>
    </xf>
    <xf numFmtId="0" fontId="0" fillId="10" borderId="5" xfId="0" applyFill="1" applyBorder="1" applyAlignment="1">
      <alignment horizontal="center" vertical="center" wrapText="1"/>
    </xf>
    <xf numFmtId="0" fontId="4" fillId="10" borderId="5" xfId="0" applyFont="1" applyFill="1" applyBorder="1" applyAlignment="1">
      <alignment horizontal="center" vertical="center" wrapText="1"/>
    </xf>
    <xf numFmtId="0" fontId="0" fillId="10" borderId="4" xfId="0" applyFill="1" applyBorder="1" applyAlignment="1">
      <alignment horizontal="center" vertical="center" wrapText="1"/>
    </xf>
    <xf numFmtId="14" fontId="0" fillId="10" borderId="5" xfId="0" applyNumberFormat="1" applyFill="1" applyBorder="1" applyAlignment="1">
      <alignment horizontal="right"/>
    </xf>
    <xf numFmtId="0" fontId="0" fillId="10" borderId="5" xfId="0" applyFill="1" applyBorder="1"/>
    <xf numFmtId="0" fontId="6" fillId="11" borderId="5" xfId="0" applyFont="1" applyFill="1" applyBorder="1" applyAlignment="1">
      <alignment horizontal="center" vertical="center" wrapText="1"/>
    </xf>
    <xf numFmtId="0" fontId="0" fillId="11" borderId="5" xfId="0" applyFill="1" applyBorder="1" applyAlignment="1">
      <alignment horizontal="center" vertical="center" wrapText="1"/>
    </xf>
    <xf numFmtId="0" fontId="4" fillId="11" borderId="5" xfId="0" applyFont="1" applyFill="1" applyBorder="1" applyAlignment="1">
      <alignment horizontal="center" vertical="center" wrapText="1"/>
    </xf>
    <xf numFmtId="0" fontId="0" fillId="11" borderId="4" xfId="0" applyFill="1" applyBorder="1" applyAlignment="1">
      <alignment horizontal="center" vertical="center" wrapText="1"/>
    </xf>
    <xf numFmtId="14" fontId="0" fillId="11" borderId="5" xfId="0" applyNumberFormat="1" applyFill="1" applyBorder="1" applyAlignment="1">
      <alignment horizontal="right"/>
    </xf>
    <xf numFmtId="0" fontId="0" fillId="11" borderId="5" xfId="0" applyFill="1" applyBorder="1"/>
    <xf numFmtId="0" fontId="8" fillId="0" borderId="0" xfId="2" applyFont="1" applyFill="1" applyBorder="1" applyAlignment="1">
      <alignment vertical="center"/>
    </xf>
    <xf numFmtId="0" fontId="9" fillId="0" borderId="0" xfId="2" applyFont="1" applyFill="1" applyBorder="1" applyAlignment="1">
      <alignment vertical="center"/>
    </xf>
    <xf numFmtId="0" fontId="4" fillId="12" borderId="0" xfId="0" applyFont="1" applyFill="1" applyAlignment="1">
      <alignment horizontal="left" vertical="center"/>
    </xf>
    <xf numFmtId="0" fontId="7" fillId="12" borderId="0" xfId="0" applyFont="1" applyFill="1" applyAlignment="1">
      <alignment horizontal="left" vertical="center"/>
    </xf>
    <xf numFmtId="0" fontId="13" fillId="12" borderId="0" xfId="0" applyFont="1" applyFill="1" applyAlignment="1">
      <alignment horizontal="left" vertical="center"/>
    </xf>
    <xf numFmtId="0" fontId="13" fillId="13" borderId="0" xfId="2" applyFont="1" applyFill="1" applyBorder="1" applyAlignment="1">
      <alignment horizontal="left" vertical="center"/>
    </xf>
    <xf numFmtId="0" fontId="8" fillId="13" borderId="0" xfId="2" applyFont="1" applyFill="1" applyBorder="1" applyAlignment="1">
      <alignment horizontal="left" vertical="center"/>
    </xf>
    <xf numFmtId="0" fontId="4" fillId="3" borderId="0" xfId="0" applyFont="1" applyFill="1" applyAlignment="1">
      <alignment horizontal="center" vertical="center" wrapText="1"/>
    </xf>
    <xf numFmtId="0" fontId="4" fillId="3" borderId="3"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13" fillId="12" borderId="0" xfId="2" applyFont="1" applyFill="1" applyBorder="1" applyAlignment="1">
      <alignment horizontal="left" vertical="center" wrapText="1"/>
    </xf>
    <xf numFmtId="0" fontId="4" fillId="3" borderId="0" xfId="3" applyFont="1" applyFill="1" applyAlignment="1">
      <alignment horizontal="center" vertical="center" wrapText="1"/>
    </xf>
    <xf numFmtId="0" fontId="4" fillId="3" borderId="3" xfId="3" applyFont="1" applyFill="1" applyBorder="1" applyAlignment="1">
      <alignment horizontal="center" vertical="center" wrapText="1"/>
    </xf>
    <xf numFmtId="0" fontId="4" fillId="12" borderId="0" xfId="0" applyFont="1" applyFill="1" applyAlignment="1">
      <alignment horizontal="left" wrapText="1"/>
    </xf>
    <xf numFmtId="0" fontId="5" fillId="0" borderId="0" xfId="0" applyFont="1" applyAlignment="1">
      <alignment horizontal="left" vertical="center"/>
    </xf>
    <xf numFmtId="0" fontId="7" fillId="0" borderId="0" xfId="0" applyFont="1" applyAlignment="1">
      <alignment horizontal="left" vertical="center"/>
    </xf>
    <xf numFmtId="0" fontId="8" fillId="2" borderId="0" xfId="2" applyFont="1" applyFill="1" applyBorder="1" applyAlignment="1">
      <alignment horizontal="left" vertical="center"/>
    </xf>
    <xf numFmtId="0" fontId="4" fillId="12" borderId="0" xfId="0" applyFont="1" applyFill="1" applyAlignment="1">
      <alignment horizontal="left" vertical="top" wrapText="1"/>
    </xf>
    <xf numFmtId="0" fontId="3" fillId="4" borderId="27"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13" fillId="12" borderId="0" xfId="0" applyFont="1" applyFill="1" applyAlignment="1">
      <alignment horizontal="left" vertical="center" wrapText="1"/>
    </xf>
    <xf numFmtId="0" fontId="0" fillId="8" borderId="5" xfId="0" applyFill="1" applyBorder="1" applyAlignment="1">
      <alignment horizontal="center" vertical="center"/>
    </xf>
    <xf numFmtId="0" fontId="0" fillId="9" borderId="5" xfId="0" applyFill="1" applyBorder="1" applyAlignment="1">
      <alignment horizontal="center" vertical="center" wrapText="1"/>
    </xf>
    <xf numFmtId="0" fontId="15" fillId="5" borderId="8" xfId="0" applyFont="1" applyFill="1" applyBorder="1" applyAlignment="1">
      <alignment wrapText="1"/>
    </xf>
    <xf numFmtId="0" fontId="15" fillId="5" borderId="25" xfId="0" applyFont="1" applyFill="1" applyBorder="1" applyAlignment="1">
      <alignment wrapText="1"/>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4" fillId="0" borderId="18" xfId="0" applyFont="1" applyBorder="1" applyAlignment="1">
      <alignment horizontal="center" vertical="center"/>
    </xf>
    <xf numFmtId="0" fontId="14" fillId="0" borderId="2" xfId="0" applyFont="1" applyBorder="1" applyAlignment="1">
      <alignment horizontal="center" vertical="center"/>
    </xf>
    <xf numFmtId="0" fontId="14" fillId="0" borderId="19" xfId="0" applyFont="1" applyBorder="1" applyAlignment="1">
      <alignment horizontal="center" vertical="center"/>
    </xf>
    <xf numFmtId="0" fontId="4" fillId="3" borderId="0" xfId="0" applyFont="1" applyFill="1" applyAlignment="1">
      <alignment horizontal="center" vertical="center"/>
    </xf>
    <xf numFmtId="0" fontId="4" fillId="3" borderId="3" xfId="0" applyFont="1" applyFill="1" applyBorder="1" applyAlignment="1">
      <alignment horizontal="center" vertical="center"/>
    </xf>
    <xf numFmtId="0" fontId="15" fillId="5" borderId="4" xfId="0" applyFont="1" applyFill="1" applyBorder="1" applyAlignment="1">
      <alignment wrapText="1"/>
    </xf>
    <xf numFmtId="0" fontId="3" fillId="4" borderId="5" xfId="0" applyFont="1" applyFill="1" applyBorder="1" applyAlignment="1">
      <alignment horizontal="center" vertical="center"/>
    </xf>
    <xf numFmtId="0" fontId="13" fillId="12" borderId="0" xfId="0" applyFont="1" applyFill="1" applyAlignment="1">
      <alignment horizontal="left" vertical="top" wrapText="1"/>
    </xf>
    <xf numFmtId="0" fontId="3" fillId="4" borderId="27"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6" xfId="0" applyFont="1" applyFill="1" applyBorder="1" applyAlignment="1">
      <alignment horizontal="center" vertical="center"/>
    </xf>
    <xf numFmtId="0" fontId="29" fillId="0" borderId="5" xfId="0" applyFont="1" applyBorder="1" applyAlignment="1">
      <alignment horizontal="center" vertical="center" wrapText="1"/>
    </xf>
    <xf numFmtId="0" fontId="27" fillId="3" borderId="5" xfId="0" applyFont="1" applyFill="1" applyBorder="1" applyAlignment="1">
      <alignment horizontal="center" vertical="center"/>
    </xf>
    <xf numFmtId="0" fontId="27" fillId="3" borderId="28" xfId="0" applyFont="1" applyFill="1" applyBorder="1" applyAlignment="1">
      <alignment horizontal="center" vertical="center" wrapText="1"/>
    </xf>
    <xf numFmtId="0" fontId="27" fillId="3" borderId="29" xfId="0" applyFont="1" applyFill="1" applyBorder="1" applyAlignment="1">
      <alignment horizontal="center" vertical="center" wrapText="1"/>
    </xf>
    <xf numFmtId="0" fontId="27" fillId="3" borderId="24" xfId="0" applyFont="1" applyFill="1" applyBorder="1" applyAlignment="1">
      <alignment horizontal="center" vertical="center" wrapText="1"/>
    </xf>
    <xf numFmtId="0" fontId="27" fillId="3" borderId="30" xfId="0" applyFont="1" applyFill="1" applyBorder="1" applyAlignment="1">
      <alignment horizontal="center" vertical="center" wrapText="1"/>
    </xf>
    <xf numFmtId="0" fontId="27" fillId="3" borderId="0" xfId="0" applyFont="1" applyFill="1" applyAlignment="1">
      <alignment horizontal="center" vertical="center" wrapText="1"/>
    </xf>
    <xf numFmtId="0" fontId="27" fillId="3" borderId="26" xfId="0" applyFont="1" applyFill="1" applyBorder="1" applyAlignment="1">
      <alignment horizontal="center" vertical="center" wrapText="1"/>
    </xf>
    <xf numFmtId="0" fontId="28" fillId="3" borderId="27" xfId="0" applyFont="1" applyFill="1" applyBorder="1" applyAlignment="1">
      <alignment horizontal="center" vertical="center" wrapText="1"/>
    </xf>
    <xf numFmtId="0" fontId="28" fillId="3" borderId="7" xfId="0" applyFont="1" applyFill="1" applyBorder="1" applyAlignment="1">
      <alignment horizontal="center" vertical="center" wrapText="1"/>
    </xf>
    <xf numFmtId="0" fontId="28" fillId="3" borderId="6" xfId="0" applyFont="1" applyFill="1" applyBorder="1" applyAlignment="1">
      <alignment horizontal="center" vertical="center" wrapText="1"/>
    </xf>
    <xf numFmtId="0" fontId="13" fillId="6" borderId="0" xfId="0" applyFont="1" applyFill="1" applyAlignment="1">
      <alignment horizontal="left" vertical="center" wrapText="1"/>
    </xf>
    <xf numFmtId="14" fontId="7" fillId="7" borderId="13" xfId="0" applyNumberFormat="1" applyFont="1" applyFill="1" applyBorder="1" applyAlignment="1">
      <alignment horizontal="center" vertical="center"/>
    </xf>
    <xf numFmtId="0" fontId="7" fillId="7" borderId="17" xfId="0" applyFont="1" applyFill="1" applyBorder="1" applyAlignment="1">
      <alignment horizontal="center" vertical="center"/>
    </xf>
    <xf numFmtId="0" fontId="14" fillId="0" borderId="14"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14" fontId="6" fillId="7" borderId="13" xfId="0" applyNumberFormat="1" applyFont="1" applyFill="1" applyBorder="1" applyAlignment="1">
      <alignment horizontal="center" vertical="center"/>
    </xf>
    <xf numFmtId="0" fontId="6" fillId="7" borderId="17" xfId="0" applyFont="1" applyFill="1" applyBorder="1" applyAlignment="1">
      <alignment horizontal="center" vertical="center"/>
    </xf>
    <xf numFmtId="0" fontId="4" fillId="7" borderId="0" xfId="0" applyFont="1" applyFill="1" applyAlignment="1">
      <alignment horizontal="center" vertical="center" wrapText="1"/>
    </xf>
    <xf numFmtId="0" fontId="17" fillId="5" borderId="20" xfId="0" applyFont="1" applyFill="1" applyBorder="1" applyAlignment="1">
      <alignment horizontal="center" wrapText="1"/>
    </xf>
    <xf numFmtId="0" fontId="17" fillId="5" borderId="4" xfId="0" applyFont="1" applyFill="1" applyBorder="1" applyAlignment="1">
      <alignment horizontal="center" wrapText="1"/>
    </xf>
  </cellXfs>
  <cellStyles count="4">
    <cellStyle name="Normal" xfId="0" builtinId="0"/>
    <cellStyle name="Normal 3" xfId="3" xr:uid="{102649D6-39E8-424B-91EB-8CFC3D26BACC}"/>
    <cellStyle name="Porcentaje" xfId="1" builtinId="5"/>
    <cellStyle name="Título 2" xfId="2" builtin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B9865-BB9E-4508-A01C-6FD6B69BEF5F}">
  <sheetPr>
    <tabColor theme="5"/>
  </sheetPr>
  <dimension ref="A1:P15"/>
  <sheetViews>
    <sheetView zoomScale="70" zoomScaleNormal="70" zoomScaleSheetLayoutView="55" zoomScalePageLayoutView="70" workbookViewId="0">
      <selection activeCell="A4" sqref="A4:C4"/>
    </sheetView>
  </sheetViews>
  <sheetFormatPr baseColWidth="10" defaultColWidth="11.42578125" defaultRowHeight="15" x14ac:dyDescent="0.25"/>
  <cols>
    <col min="1" max="1" width="29.85546875" customWidth="1"/>
    <col min="2" max="2" width="30.42578125" customWidth="1"/>
    <col min="3" max="3" width="25.140625" customWidth="1"/>
    <col min="4" max="9" width="28.7109375"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67.5" customHeight="1" thickTop="1" x14ac:dyDescent="0.25">
      <c r="A4" s="186" t="s">
        <v>524</v>
      </c>
      <c r="B4" s="186"/>
      <c r="C4" s="186"/>
      <c r="D4" s="175"/>
      <c r="E4" s="175"/>
      <c r="F4" s="176"/>
      <c r="G4" s="175"/>
      <c r="H4" s="4"/>
      <c r="N4" s="4"/>
      <c r="O4" s="4"/>
      <c r="P4" s="4"/>
    </row>
    <row r="5" spans="1:16" ht="15" customHeight="1" x14ac:dyDescent="0.25">
      <c r="A5" s="182" t="s">
        <v>523</v>
      </c>
      <c r="B5" s="182"/>
      <c r="C5" s="182"/>
      <c r="D5" s="182"/>
      <c r="E5" s="182"/>
      <c r="F5" s="182"/>
      <c r="G5" s="182"/>
      <c r="H5" s="182"/>
      <c r="I5" s="182"/>
    </row>
    <row r="6" spans="1:16" x14ac:dyDescent="0.25">
      <c r="A6" s="183"/>
      <c r="B6" s="183"/>
      <c r="C6" s="183"/>
      <c r="D6" s="183"/>
      <c r="E6" s="183"/>
      <c r="F6" s="183"/>
      <c r="G6" s="183"/>
      <c r="H6" s="183"/>
      <c r="I6" s="183"/>
    </row>
    <row r="7" spans="1:16" ht="38.25" customHeight="1" x14ac:dyDescent="0.25">
      <c r="B7" s="184" t="s">
        <v>12</v>
      </c>
      <c r="C7" s="184"/>
      <c r="D7" s="185" t="s">
        <v>13</v>
      </c>
      <c r="E7" s="185"/>
      <c r="F7" s="185"/>
      <c r="G7" s="185" t="s">
        <v>14</v>
      </c>
      <c r="H7" s="185"/>
      <c r="I7" s="185"/>
    </row>
    <row r="8" spans="1:16" s="20" customFormat="1" ht="69.75" customHeight="1" x14ac:dyDescent="0.25">
      <c r="A8" s="18" t="s">
        <v>2</v>
      </c>
      <c r="B8" s="19" t="s">
        <v>15</v>
      </c>
      <c r="C8" s="19" t="s">
        <v>16</v>
      </c>
      <c r="D8" s="19" t="s">
        <v>17</v>
      </c>
      <c r="E8" s="19" t="s">
        <v>16</v>
      </c>
      <c r="F8" s="19" t="s">
        <v>18</v>
      </c>
      <c r="G8" s="19" t="s">
        <v>19</v>
      </c>
      <c r="H8" s="19" t="s">
        <v>20</v>
      </c>
      <c r="I8" s="19" t="s">
        <v>21</v>
      </c>
    </row>
    <row r="9" spans="1:16" s="20" customFormat="1" ht="21" x14ac:dyDescent="0.25">
      <c r="A9" s="21" t="s">
        <v>3</v>
      </c>
      <c r="B9" s="54">
        <v>0</v>
      </c>
      <c r="C9" s="19"/>
      <c r="D9" s="23"/>
      <c r="E9" s="19"/>
      <c r="F9" s="19"/>
      <c r="G9" s="19"/>
      <c r="H9" s="19"/>
      <c r="I9" s="19"/>
    </row>
    <row r="10" spans="1:16" s="20" customFormat="1" ht="21" x14ac:dyDescent="0.25">
      <c r="A10" s="21" t="s">
        <v>4</v>
      </c>
      <c r="B10" s="22"/>
      <c r="C10" s="19"/>
      <c r="D10" s="23"/>
      <c r="E10" s="19"/>
      <c r="F10" s="19"/>
      <c r="G10" s="19"/>
      <c r="H10" s="19"/>
      <c r="I10" s="19"/>
    </row>
    <row r="11" spans="1:16" s="20" customFormat="1" ht="21" x14ac:dyDescent="0.25">
      <c r="A11" s="21" t="s">
        <v>5</v>
      </c>
      <c r="B11" s="22"/>
      <c r="C11" s="19"/>
      <c r="D11" s="23"/>
      <c r="E11" s="19"/>
      <c r="F11" s="19"/>
      <c r="G11" s="19"/>
      <c r="H11" s="19"/>
      <c r="I11" s="19"/>
    </row>
    <row r="12" spans="1:16" s="20" customFormat="1" ht="21" x14ac:dyDescent="0.25">
      <c r="A12" s="21" t="s">
        <v>6</v>
      </c>
      <c r="B12" s="22"/>
      <c r="C12" s="19"/>
      <c r="D12" s="23"/>
      <c r="E12" s="19"/>
      <c r="F12" s="19"/>
      <c r="G12" s="19"/>
      <c r="H12" s="19"/>
      <c r="I12" s="19"/>
    </row>
    <row r="13" spans="1:16" s="20" customFormat="1" ht="21" x14ac:dyDescent="0.25">
      <c r="A13" s="24" t="s">
        <v>7</v>
      </c>
      <c r="B13" s="22"/>
      <c r="C13" s="19"/>
      <c r="D13" s="23"/>
      <c r="E13" s="19"/>
      <c r="F13" s="19"/>
      <c r="G13" s="19"/>
      <c r="H13" s="19"/>
      <c r="I13" s="19"/>
    </row>
    <row r="14" spans="1:16" s="20" customFormat="1" ht="21" x14ac:dyDescent="0.25">
      <c r="A14" s="21" t="s">
        <v>8</v>
      </c>
      <c r="B14" s="22"/>
      <c r="C14" s="19"/>
      <c r="D14" s="23"/>
      <c r="E14" s="19"/>
      <c r="F14" s="19"/>
      <c r="G14" s="19"/>
      <c r="H14" s="19"/>
      <c r="I14" s="19"/>
    </row>
    <row r="15" spans="1:16" s="20" customFormat="1" ht="21" x14ac:dyDescent="0.25">
      <c r="A15" s="21" t="s">
        <v>9</v>
      </c>
      <c r="B15" s="22"/>
      <c r="C15" s="19"/>
      <c r="D15" s="23"/>
      <c r="E15" s="19"/>
      <c r="F15" s="19"/>
      <c r="G15" s="19"/>
      <c r="H15" s="19"/>
      <c r="I15" s="19"/>
    </row>
  </sheetData>
  <mergeCells count="5">
    <mergeCell ref="A5:I6"/>
    <mergeCell ref="B7:C7"/>
    <mergeCell ref="D7:F7"/>
    <mergeCell ref="G7:I7"/>
    <mergeCell ref="A4:C4"/>
  </mergeCells>
  <printOptions horizontalCentered="1"/>
  <pageMargins left="0.31496062992125984" right="0.31496062992125984" top="0.35433070866141736" bottom="0.35433070866141736" header="0.11811023622047245" footer="0.11811023622047245"/>
  <pageSetup scale="55" orientation="landscape" r:id="rId1"/>
  <headerFooter>
    <oddHeader>&amp;R&amp;"Candara,Cursiva"&amp;10B.D. Indicadores del PTA</oddHeader>
    <oddFooter>&amp;R&amp;"Candara,Normal"&amp;10Página &amp;P de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81568-DB7A-4A68-98EC-FED3C3C5A694}">
  <sheetPr>
    <tabColor theme="5"/>
  </sheetPr>
  <dimension ref="A1:P10"/>
  <sheetViews>
    <sheetView zoomScale="70" zoomScaleNormal="70" zoomScaleSheetLayoutView="55" zoomScalePageLayoutView="70" workbookViewId="0">
      <selection activeCell="C14" sqref="C14"/>
    </sheetView>
  </sheetViews>
  <sheetFormatPr baseColWidth="10" defaultColWidth="11.42578125" defaultRowHeight="15" x14ac:dyDescent="0.25"/>
  <cols>
    <col min="1" max="1" width="29.85546875" style="9" customWidth="1"/>
    <col min="2" max="2" width="30.42578125" style="9" customWidth="1"/>
    <col min="3" max="3" width="25.140625" style="9" customWidth="1"/>
    <col min="4" max="9" width="28.7109375" style="9" customWidth="1"/>
    <col min="10" max="16384" width="11.42578125" style="9"/>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43.5" customHeight="1" thickTop="1" x14ac:dyDescent="0.25">
      <c r="A4" s="186" t="s">
        <v>526</v>
      </c>
      <c r="B4" s="186"/>
      <c r="C4" s="186"/>
      <c r="D4" s="175"/>
      <c r="E4" s="175"/>
      <c r="F4" s="176"/>
      <c r="G4" s="175"/>
      <c r="H4" s="4"/>
      <c r="N4" s="4"/>
      <c r="O4" s="4"/>
      <c r="P4" s="4"/>
    </row>
    <row r="5" spans="1:16" ht="15" customHeight="1" x14ac:dyDescent="0.25">
      <c r="A5" s="187" t="s">
        <v>525</v>
      </c>
      <c r="B5" s="187"/>
      <c r="C5" s="187"/>
      <c r="D5" s="187"/>
      <c r="E5" s="187"/>
      <c r="F5" s="187"/>
      <c r="G5" s="187"/>
      <c r="H5" s="187"/>
      <c r="I5" s="187"/>
    </row>
    <row r="6" spans="1:16" x14ac:dyDescent="0.25">
      <c r="A6" s="188"/>
      <c r="B6" s="188"/>
      <c r="C6" s="188"/>
      <c r="D6" s="188"/>
      <c r="E6" s="188"/>
      <c r="F6" s="188"/>
      <c r="G6" s="188"/>
      <c r="H6" s="188"/>
      <c r="I6" s="188"/>
    </row>
    <row r="7" spans="1:16" ht="38.25" customHeight="1" x14ac:dyDescent="0.25"/>
    <row r="8" spans="1:16" s="12" customFormat="1" ht="69.75" customHeight="1" x14ac:dyDescent="0.25">
      <c r="A8" s="10" t="s">
        <v>2</v>
      </c>
      <c r="B8" s="11" t="s">
        <v>3</v>
      </c>
      <c r="C8" s="11" t="s">
        <v>4</v>
      </c>
      <c r="D8" s="11" t="s">
        <v>5</v>
      </c>
      <c r="E8" s="11" t="s">
        <v>6</v>
      </c>
      <c r="F8" s="11" t="s">
        <v>7</v>
      </c>
      <c r="G8" s="11" t="s">
        <v>8</v>
      </c>
      <c r="H8" s="11" t="s">
        <v>9</v>
      </c>
      <c r="I8" s="9"/>
    </row>
    <row r="9" spans="1:16" s="12" customFormat="1" ht="126" x14ac:dyDescent="0.25">
      <c r="A9" s="13" t="s">
        <v>10</v>
      </c>
      <c r="B9" s="14">
        <v>0</v>
      </c>
      <c r="C9" s="15"/>
      <c r="D9" s="16"/>
      <c r="E9" s="15"/>
      <c r="F9" s="15"/>
      <c r="G9" s="15"/>
      <c r="H9" s="15"/>
      <c r="I9" s="9"/>
    </row>
    <row r="10" spans="1:16" s="12" customFormat="1" ht="84" x14ac:dyDescent="0.25">
      <c r="A10" s="13" t="s">
        <v>11</v>
      </c>
      <c r="B10" s="14">
        <v>117</v>
      </c>
      <c r="C10" s="15"/>
      <c r="D10" s="16"/>
      <c r="E10" s="15"/>
      <c r="F10" s="15"/>
      <c r="G10" s="15"/>
      <c r="H10" s="15"/>
      <c r="I10" s="9"/>
    </row>
  </sheetData>
  <mergeCells count="2">
    <mergeCell ref="A5:I6"/>
    <mergeCell ref="A4:C4"/>
  </mergeCells>
  <printOptions horizontalCentered="1"/>
  <pageMargins left="0.31496062992125984" right="0.31496062992125984" top="0.35433070866141736" bottom="0.35433070866141736" header="0.11811023622047245" footer="0.11811023622047245"/>
  <pageSetup scale="55" orientation="landscape" r:id="rId1"/>
  <headerFooter>
    <oddHeader>&amp;R&amp;"Candara,Cursiva"&amp;10B.D. Indicadores del PTA</oddHeader>
    <oddFooter>&amp;R&amp;"Candara,Normal"&amp;10Página &amp;P de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AF48-C083-4EED-A827-FBA55C0E5D9B}">
  <sheetPr>
    <tabColor theme="5"/>
  </sheetPr>
  <dimension ref="A1:P15"/>
  <sheetViews>
    <sheetView zoomScale="70" zoomScaleNormal="70" zoomScaleSheetLayoutView="55" zoomScalePageLayoutView="70" workbookViewId="0">
      <selection activeCell="A4" sqref="A4:C4"/>
    </sheetView>
  </sheetViews>
  <sheetFormatPr baseColWidth="10" defaultColWidth="11.42578125" defaultRowHeight="15" x14ac:dyDescent="0.25"/>
  <cols>
    <col min="1" max="1" width="29.85546875" customWidth="1"/>
    <col min="2" max="2" width="32.7109375" customWidth="1"/>
    <col min="3" max="3" width="54.5703125"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59.25" customHeight="1" thickTop="1" x14ac:dyDescent="0.25">
      <c r="A4" s="189" t="s">
        <v>528</v>
      </c>
      <c r="B4" s="189"/>
      <c r="C4" s="189"/>
      <c r="D4" s="175"/>
      <c r="E4" s="175"/>
      <c r="F4" s="176"/>
      <c r="G4" s="175"/>
      <c r="H4" s="4"/>
      <c r="N4" s="4"/>
      <c r="O4" s="4"/>
      <c r="P4" s="4"/>
    </row>
    <row r="5" spans="1:16" ht="15" customHeight="1" x14ac:dyDescent="0.25">
      <c r="A5" s="182" t="s">
        <v>527</v>
      </c>
      <c r="B5" s="182"/>
      <c r="C5" s="182"/>
    </row>
    <row r="6" spans="1:16" x14ac:dyDescent="0.25">
      <c r="A6" s="183"/>
      <c r="B6" s="183"/>
      <c r="C6" s="183"/>
    </row>
    <row r="7" spans="1:16" ht="38.25" customHeight="1" x14ac:dyDescent="0.25"/>
    <row r="8" spans="1:16" s="20" customFormat="1" ht="99.75" customHeight="1" x14ac:dyDescent="0.25">
      <c r="A8" s="18" t="s">
        <v>2</v>
      </c>
      <c r="B8" s="17" t="s">
        <v>264</v>
      </c>
      <c r="C8" s="17" t="s">
        <v>265</v>
      </c>
    </row>
    <row r="9" spans="1:16" s="20" customFormat="1" ht="21" x14ac:dyDescent="0.25">
      <c r="A9" s="21" t="s">
        <v>3</v>
      </c>
      <c r="B9" s="54" t="s">
        <v>266</v>
      </c>
      <c r="C9" s="55" t="s">
        <v>3</v>
      </c>
    </row>
    <row r="10" spans="1:16" s="20" customFormat="1" ht="21" x14ac:dyDescent="0.25">
      <c r="A10" s="21" t="s">
        <v>4</v>
      </c>
      <c r="B10" s="22"/>
      <c r="C10" s="19"/>
    </row>
    <row r="11" spans="1:16" s="20" customFormat="1" ht="21" x14ac:dyDescent="0.25">
      <c r="A11" s="21" t="s">
        <v>5</v>
      </c>
      <c r="B11" s="22"/>
      <c r="C11" s="19"/>
    </row>
    <row r="12" spans="1:16" s="20" customFormat="1" ht="21" x14ac:dyDescent="0.25">
      <c r="A12" s="21" t="s">
        <v>6</v>
      </c>
      <c r="B12" s="22"/>
      <c r="C12" s="19"/>
    </row>
    <row r="13" spans="1:16" s="20" customFormat="1" ht="21" x14ac:dyDescent="0.25">
      <c r="A13" s="24" t="s">
        <v>7</v>
      </c>
      <c r="B13" s="22"/>
      <c r="C13" s="19"/>
    </row>
    <row r="14" spans="1:16" s="20" customFormat="1" ht="21" x14ac:dyDescent="0.25">
      <c r="A14" s="21" t="s">
        <v>8</v>
      </c>
      <c r="B14" s="22"/>
      <c r="C14" s="19"/>
    </row>
    <row r="15" spans="1:16" s="20" customFormat="1" ht="21" x14ac:dyDescent="0.25">
      <c r="A15" s="21" t="s">
        <v>9</v>
      </c>
      <c r="B15" s="22"/>
      <c r="C15" s="19"/>
    </row>
  </sheetData>
  <mergeCells count="2">
    <mergeCell ref="A5:C6"/>
    <mergeCell ref="A4:C4"/>
  </mergeCells>
  <printOptions horizontalCentered="1"/>
  <pageMargins left="0.31496062992125984" right="0.31496062992125984" top="0.35433070866141736" bottom="0.35433070866141736" header="0.11811023622047245" footer="0.11811023622047245"/>
  <pageSetup scale="55" orientation="landscape" r:id="rId1"/>
  <headerFooter>
    <oddHeader>&amp;R&amp;"Candara,Cursiva"&amp;10B.D. Indicadores del PTA</oddHeader>
    <oddFooter>&amp;R&amp;"Candara,Normal"&amp;10Página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5105-1DE8-44A9-9262-B4220681923A}">
  <sheetPr>
    <tabColor theme="5"/>
  </sheetPr>
  <dimension ref="A1:L80"/>
  <sheetViews>
    <sheetView showWhiteSpace="0" zoomScale="90" zoomScaleNormal="90" zoomScaleSheetLayoutView="85" zoomScalePageLayoutView="70" workbookViewId="0">
      <selection activeCell="C15" sqref="C15"/>
    </sheetView>
  </sheetViews>
  <sheetFormatPr baseColWidth="10" defaultColWidth="11.42578125" defaultRowHeight="15" x14ac:dyDescent="0.25"/>
  <cols>
    <col min="1" max="1" width="8.42578125" customWidth="1"/>
    <col min="2" max="2" width="12.28515625" customWidth="1"/>
    <col min="3" max="3" width="37.85546875" customWidth="1"/>
    <col min="4" max="4" width="16" customWidth="1"/>
    <col min="5" max="5" width="25.140625" bestFit="1" customWidth="1"/>
    <col min="6" max="7" width="19.42578125" customWidth="1"/>
    <col min="8" max="8" width="28.28515625" customWidth="1"/>
    <col min="9" max="11" width="14.28515625" customWidth="1"/>
    <col min="12" max="12" width="8.42578125" customWidth="1"/>
    <col min="14" max="14" width="35.42578125" bestFit="1" customWidth="1"/>
  </cols>
  <sheetData>
    <row r="1" spans="1:12" s="25" customFormat="1" ht="15" customHeight="1" x14ac:dyDescent="0.25">
      <c r="A1" s="190" t="s">
        <v>0</v>
      </c>
      <c r="B1" s="190"/>
      <c r="C1" s="190"/>
    </row>
    <row r="2" spans="1:12" s="25" customFormat="1" x14ac:dyDescent="0.25">
      <c r="A2" s="191" t="s">
        <v>1</v>
      </c>
      <c r="B2" s="191"/>
      <c r="C2" s="191"/>
      <c r="F2" s="5"/>
      <c r="G2" s="5"/>
      <c r="H2" s="5"/>
    </row>
    <row r="3" spans="1:12" s="25" customFormat="1" ht="20.25" customHeight="1" thickBot="1" x14ac:dyDescent="0.3">
      <c r="A3" s="192" t="s">
        <v>522</v>
      </c>
      <c r="B3" s="192"/>
      <c r="C3" s="192"/>
      <c r="D3" s="7"/>
      <c r="E3" s="7"/>
      <c r="F3" s="7"/>
      <c r="G3" s="7"/>
      <c r="H3" s="7"/>
      <c r="I3" s="7"/>
      <c r="J3" s="7"/>
      <c r="K3" s="7"/>
    </row>
    <row r="4" spans="1:12" ht="7.5" customHeight="1" thickTop="1" x14ac:dyDescent="0.25"/>
    <row r="5" spans="1:12" ht="36.75" customHeight="1" x14ac:dyDescent="0.25">
      <c r="A5" s="193" t="s">
        <v>530</v>
      </c>
      <c r="B5" s="193"/>
      <c r="C5" s="193"/>
      <c r="D5" s="193"/>
    </row>
    <row r="6" spans="1:12" ht="15" customHeight="1" x14ac:dyDescent="0.25">
      <c r="A6" s="182" t="s">
        <v>529</v>
      </c>
      <c r="B6" s="182"/>
      <c r="C6" s="182"/>
      <c r="D6" s="182"/>
      <c r="E6" s="182"/>
      <c r="F6" s="182"/>
      <c r="G6" s="182"/>
      <c r="H6" s="182"/>
    </row>
    <row r="8" spans="1:12" s="34" customFormat="1" ht="39.75" customHeight="1" x14ac:dyDescent="0.25">
      <c r="A8" s="17" t="s">
        <v>27</v>
      </c>
      <c r="B8" s="17" t="s">
        <v>267</v>
      </c>
      <c r="C8" s="18" t="s">
        <v>268</v>
      </c>
      <c r="D8" s="17" t="s">
        <v>269</v>
      </c>
      <c r="E8" s="17" t="s">
        <v>2</v>
      </c>
      <c r="F8" s="17" t="s">
        <v>270</v>
      </c>
      <c r="G8" s="17" t="s">
        <v>271</v>
      </c>
      <c r="H8" s="17" t="s">
        <v>272</v>
      </c>
      <c r="I8"/>
      <c r="J8"/>
      <c r="K8"/>
      <c r="L8"/>
    </row>
    <row r="9" spans="1:12" x14ac:dyDescent="0.25">
      <c r="A9" s="56"/>
      <c r="B9" s="56"/>
      <c r="C9" s="57"/>
      <c r="D9" s="58"/>
      <c r="E9" s="58"/>
      <c r="F9" s="58"/>
      <c r="G9" s="58"/>
      <c r="H9" s="58"/>
    </row>
    <row r="10" spans="1:12" x14ac:dyDescent="0.25">
      <c r="A10" s="56"/>
      <c r="B10" s="56"/>
      <c r="C10" s="65" t="s">
        <v>273</v>
      </c>
      <c r="D10" s="58"/>
      <c r="E10" s="58"/>
      <c r="F10" s="58"/>
      <c r="G10" s="58"/>
      <c r="H10" s="58"/>
    </row>
    <row r="11" spans="1:12" x14ac:dyDescent="0.25">
      <c r="A11" s="56"/>
      <c r="B11" s="56"/>
      <c r="C11" s="57"/>
      <c r="D11" s="58"/>
      <c r="E11" s="58"/>
      <c r="F11" s="58"/>
      <c r="G11" s="58"/>
      <c r="H11" s="58"/>
    </row>
    <row r="12" spans="1:12" x14ac:dyDescent="0.25">
      <c r="A12" s="56"/>
      <c r="B12" s="56"/>
      <c r="C12" s="57"/>
      <c r="D12" s="58"/>
      <c r="E12" s="58"/>
      <c r="F12" s="58"/>
      <c r="G12" s="58"/>
      <c r="H12" s="58"/>
    </row>
    <row r="13" spans="1:12" x14ac:dyDescent="0.25">
      <c r="A13" s="56"/>
      <c r="B13" s="56"/>
      <c r="C13" s="59"/>
      <c r="D13" s="58"/>
      <c r="E13" s="58"/>
      <c r="F13" s="58"/>
      <c r="G13" s="58"/>
      <c r="H13" s="58"/>
    </row>
    <row r="14" spans="1:12" x14ac:dyDescent="0.25">
      <c r="A14" s="56"/>
      <c r="B14" s="56"/>
      <c r="C14" s="60"/>
      <c r="D14" s="58"/>
      <c r="E14" s="58"/>
      <c r="F14" s="58"/>
      <c r="G14" s="58"/>
      <c r="H14" s="58"/>
    </row>
    <row r="15" spans="1:12" x14ac:dyDescent="0.25">
      <c r="A15" s="56"/>
      <c r="B15" s="56"/>
      <c r="C15" s="60"/>
      <c r="D15" s="58"/>
      <c r="E15" s="58"/>
      <c r="F15" s="58"/>
      <c r="G15" s="58"/>
      <c r="H15" s="58"/>
    </row>
    <row r="16" spans="1:12" x14ac:dyDescent="0.25">
      <c r="A16" s="56"/>
      <c r="B16" s="56"/>
      <c r="C16" s="60"/>
      <c r="D16" s="58"/>
      <c r="E16" s="58"/>
      <c r="F16" s="58"/>
      <c r="G16" s="58"/>
      <c r="H16" s="58"/>
    </row>
    <row r="17" spans="1:8" x14ac:dyDescent="0.25">
      <c r="A17" s="56"/>
      <c r="B17" s="56"/>
      <c r="C17" s="60"/>
      <c r="D17" s="58"/>
      <c r="E17" s="58"/>
      <c r="F17" s="58"/>
      <c r="G17" s="58"/>
      <c r="H17" s="58"/>
    </row>
    <row r="18" spans="1:8" x14ac:dyDescent="0.25">
      <c r="A18" s="56"/>
      <c r="B18" s="56"/>
      <c r="C18" s="60"/>
      <c r="D18" s="58"/>
      <c r="E18" s="58"/>
      <c r="F18" s="58"/>
      <c r="G18" s="58"/>
      <c r="H18" s="58"/>
    </row>
    <row r="19" spans="1:8" x14ac:dyDescent="0.25">
      <c r="A19" s="56"/>
      <c r="B19" s="56"/>
      <c r="C19" s="60"/>
      <c r="D19" s="58"/>
      <c r="E19" s="58"/>
      <c r="F19" s="58"/>
      <c r="G19" s="58"/>
      <c r="H19" s="58"/>
    </row>
    <row r="20" spans="1:8" x14ac:dyDescent="0.25">
      <c r="A20" s="56"/>
      <c r="B20" s="56"/>
      <c r="C20" s="60"/>
      <c r="D20" s="58"/>
      <c r="E20" s="58"/>
      <c r="F20" s="58"/>
      <c r="G20" s="58"/>
      <c r="H20" s="58"/>
    </row>
    <row r="21" spans="1:8" x14ac:dyDescent="0.25">
      <c r="A21" s="56"/>
      <c r="B21" s="56"/>
      <c r="C21" s="60"/>
      <c r="D21" s="58"/>
      <c r="E21" s="58"/>
      <c r="F21" s="61"/>
      <c r="G21" s="61"/>
      <c r="H21" s="61"/>
    </row>
    <row r="22" spans="1:8" x14ac:dyDescent="0.25">
      <c r="A22" s="56"/>
      <c r="B22" s="56"/>
      <c r="C22" s="60"/>
      <c r="D22" s="58"/>
      <c r="E22" s="58"/>
      <c r="F22" s="58"/>
      <c r="G22" s="58"/>
      <c r="H22" s="58"/>
    </row>
    <row r="23" spans="1:8" x14ac:dyDescent="0.25">
      <c r="A23" s="56"/>
      <c r="B23" s="56"/>
      <c r="C23" s="60"/>
      <c r="D23" s="58"/>
      <c r="E23" s="58"/>
      <c r="F23" s="58"/>
      <c r="G23" s="58"/>
      <c r="H23" s="58"/>
    </row>
    <row r="24" spans="1:8" x14ac:dyDescent="0.25">
      <c r="A24" s="56"/>
      <c r="B24" s="56"/>
      <c r="C24" s="60"/>
      <c r="D24" s="62"/>
      <c r="E24" s="58"/>
      <c r="F24" s="58"/>
      <c r="G24" s="58"/>
      <c r="H24" s="58"/>
    </row>
    <row r="25" spans="1:8" x14ac:dyDescent="0.25">
      <c r="A25" s="56"/>
      <c r="B25" s="56"/>
      <c r="C25" s="60"/>
      <c r="D25" s="62"/>
      <c r="E25" s="58"/>
      <c r="F25" s="58"/>
      <c r="G25" s="58"/>
      <c r="H25" s="58"/>
    </row>
    <row r="26" spans="1:8" x14ac:dyDescent="0.25">
      <c r="A26" s="56"/>
      <c r="B26" s="56"/>
      <c r="C26" s="60"/>
      <c r="D26" s="62"/>
      <c r="E26" s="58"/>
      <c r="F26" s="58"/>
      <c r="G26" s="58"/>
      <c r="H26" s="58"/>
    </row>
    <row r="27" spans="1:8" x14ac:dyDescent="0.25">
      <c r="A27" s="56"/>
      <c r="B27" s="56"/>
      <c r="C27" s="60"/>
      <c r="D27" s="62"/>
      <c r="E27" s="58"/>
      <c r="F27" s="58"/>
      <c r="G27" s="58"/>
      <c r="H27" s="58"/>
    </row>
    <row r="28" spans="1:8" x14ac:dyDescent="0.25">
      <c r="A28" s="56"/>
      <c r="B28" s="56"/>
      <c r="C28" s="60"/>
      <c r="D28" s="62"/>
      <c r="E28" s="58"/>
      <c r="F28" s="58"/>
      <c r="G28" s="58"/>
      <c r="H28" s="58"/>
    </row>
    <row r="29" spans="1:8" x14ac:dyDescent="0.25">
      <c r="A29" s="56"/>
      <c r="B29" s="56"/>
      <c r="C29" s="60"/>
      <c r="D29" s="62"/>
      <c r="E29" s="58"/>
      <c r="F29" s="58"/>
      <c r="G29" s="58"/>
      <c r="H29" s="58"/>
    </row>
    <row r="30" spans="1:8" x14ac:dyDescent="0.25">
      <c r="A30" s="56"/>
      <c r="B30" s="56"/>
      <c r="C30" s="60"/>
      <c r="D30" s="58"/>
      <c r="E30" s="58"/>
      <c r="F30" s="58"/>
      <c r="G30" s="58"/>
      <c r="H30" s="58"/>
    </row>
    <row r="31" spans="1:8" x14ac:dyDescent="0.25">
      <c r="A31" s="56"/>
      <c r="B31" s="56"/>
      <c r="C31" s="60"/>
      <c r="D31" s="58"/>
      <c r="E31" s="58"/>
      <c r="F31" s="58"/>
      <c r="G31" s="58"/>
      <c r="H31" s="58"/>
    </row>
    <row r="32" spans="1:8" x14ac:dyDescent="0.25">
      <c r="A32" s="56"/>
      <c r="B32" s="56"/>
      <c r="C32" s="60"/>
      <c r="D32" s="58"/>
      <c r="E32" s="58"/>
      <c r="F32" s="58"/>
      <c r="G32" s="58"/>
      <c r="H32" s="58"/>
    </row>
    <row r="33" spans="1:8" x14ac:dyDescent="0.25">
      <c r="A33" s="56"/>
      <c r="B33" s="56"/>
      <c r="C33" s="60"/>
      <c r="D33" s="58"/>
      <c r="E33" s="58"/>
      <c r="F33" s="58"/>
      <c r="G33" s="58"/>
      <c r="H33" s="58"/>
    </row>
    <row r="34" spans="1:8" x14ac:dyDescent="0.25">
      <c r="A34" s="56"/>
      <c r="B34" s="56"/>
      <c r="C34" s="60"/>
      <c r="D34" s="58"/>
      <c r="E34" s="58"/>
      <c r="F34" s="58"/>
      <c r="G34" s="58"/>
      <c r="H34" s="58"/>
    </row>
    <row r="35" spans="1:8" x14ac:dyDescent="0.25">
      <c r="A35" s="56"/>
      <c r="B35" s="56"/>
      <c r="C35" s="60"/>
      <c r="D35" s="58"/>
      <c r="E35" s="58"/>
      <c r="F35" s="58"/>
      <c r="G35" s="58"/>
      <c r="H35" s="58"/>
    </row>
    <row r="36" spans="1:8" x14ac:dyDescent="0.25">
      <c r="A36" s="56"/>
      <c r="B36" s="56"/>
      <c r="C36" s="60"/>
      <c r="D36" s="58"/>
      <c r="E36" s="58"/>
      <c r="F36" s="58"/>
      <c r="G36" s="58"/>
      <c r="H36" s="58"/>
    </row>
    <row r="37" spans="1:8" x14ac:dyDescent="0.25">
      <c r="A37" s="56"/>
      <c r="B37" s="56"/>
      <c r="C37" s="60"/>
      <c r="D37" s="58"/>
      <c r="E37" s="58"/>
      <c r="F37" s="58"/>
      <c r="G37" s="58"/>
      <c r="H37" s="58"/>
    </row>
    <row r="38" spans="1:8" x14ac:dyDescent="0.25">
      <c r="A38" s="56"/>
      <c r="B38" s="56"/>
      <c r="C38" s="60"/>
      <c r="D38" s="58"/>
      <c r="E38" s="58"/>
      <c r="F38" s="58"/>
      <c r="G38" s="58"/>
      <c r="H38" s="58"/>
    </row>
    <row r="39" spans="1:8" x14ac:dyDescent="0.25">
      <c r="A39" s="56"/>
      <c r="B39" s="56"/>
      <c r="C39" s="60"/>
      <c r="D39" s="58"/>
      <c r="E39" s="58"/>
      <c r="F39" s="58"/>
      <c r="G39" s="58"/>
      <c r="H39" s="58"/>
    </row>
    <row r="40" spans="1:8" x14ac:dyDescent="0.25">
      <c r="A40" s="56"/>
      <c r="B40" s="56"/>
      <c r="C40" s="60"/>
      <c r="D40" s="63"/>
      <c r="E40" s="58"/>
      <c r="F40" s="58"/>
      <c r="G40" s="58"/>
      <c r="H40" s="58"/>
    </row>
    <row r="41" spans="1:8" x14ac:dyDescent="0.25">
      <c r="A41" s="56"/>
      <c r="B41" s="56"/>
      <c r="C41" s="60"/>
      <c r="D41" s="63"/>
      <c r="E41" s="58"/>
      <c r="F41" s="58"/>
      <c r="G41" s="58"/>
      <c r="H41" s="58"/>
    </row>
    <row r="42" spans="1:8" x14ac:dyDescent="0.25">
      <c r="A42" s="56"/>
      <c r="B42" s="56"/>
      <c r="C42" s="60"/>
      <c r="D42" s="58"/>
      <c r="E42" s="58"/>
      <c r="F42" s="61"/>
      <c r="G42" s="61"/>
      <c r="H42" s="61"/>
    </row>
    <row r="43" spans="1:8" x14ac:dyDescent="0.25">
      <c r="A43" s="56"/>
      <c r="B43" s="56"/>
      <c r="C43" s="60"/>
      <c r="D43" s="58"/>
      <c r="E43" s="58"/>
      <c r="F43" s="58"/>
      <c r="G43" s="58"/>
      <c r="H43" s="58"/>
    </row>
    <row r="44" spans="1:8" x14ac:dyDescent="0.25">
      <c r="A44" s="56"/>
      <c r="B44" s="56"/>
      <c r="C44" s="60"/>
      <c r="D44" s="58"/>
      <c r="E44" s="58"/>
      <c r="F44" s="58"/>
      <c r="G44" s="58"/>
      <c r="H44" s="58"/>
    </row>
    <row r="45" spans="1:8" x14ac:dyDescent="0.25">
      <c r="A45" s="56"/>
      <c r="B45" s="56"/>
      <c r="C45" s="60"/>
      <c r="D45" s="58"/>
      <c r="E45" s="58"/>
      <c r="F45" s="58"/>
      <c r="G45" s="58"/>
      <c r="H45" s="58"/>
    </row>
    <row r="46" spans="1:8" x14ac:dyDescent="0.25">
      <c r="A46" s="56"/>
      <c r="B46" s="56"/>
      <c r="C46" s="60"/>
      <c r="D46" s="58"/>
      <c r="E46" s="58"/>
      <c r="F46" s="58"/>
      <c r="G46" s="58"/>
      <c r="H46" s="58"/>
    </row>
    <row r="47" spans="1:8" x14ac:dyDescent="0.25">
      <c r="A47" s="56"/>
      <c r="B47" s="56"/>
      <c r="C47" s="60"/>
      <c r="D47" s="58"/>
      <c r="E47" s="58"/>
      <c r="F47" s="58"/>
      <c r="G47" s="58"/>
      <c r="H47" s="58"/>
    </row>
    <row r="48" spans="1:8" x14ac:dyDescent="0.25">
      <c r="A48" s="56"/>
      <c r="B48" s="56"/>
      <c r="C48" s="60"/>
      <c r="D48" s="58"/>
      <c r="E48" s="58"/>
      <c r="F48" s="58"/>
      <c r="G48" s="58"/>
      <c r="H48" s="58"/>
    </row>
    <row r="49" spans="1:8" x14ac:dyDescent="0.25">
      <c r="A49" s="56"/>
      <c r="B49" s="56"/>
      <c r="C49" s="60"/>
      <c r="D49" s="58"/>
      <c r="E49" s="58"/>
      <c r="F49" s="58"/>
      <c r="G49" s="58"/>
      <c r="H49" s="58"/>
    </row>
    <row r="50" spans="1:8" x14ac:dyDescent="0.25">
      <c r="A50" s="56"/>
      <c r="B50" s="56"/>
      <c r="C50" s="60"/>
      <c r="D50" s="58"/>
      <c r="E50" s="58"/>
      <c r="F50" s="58"/>
      <c r="G50" s="58"/>
      <c r="H50" s="58"/>
    </row>
    <row r="51" spans="1:8" x14ac:dyDescent="0.25">
      <c r="A51" s="56"/>
      <c r="B51" s="56"/>
      <c r="C51" s="60"/>
      <c r="D51" s="58"/>
      <c r="E51" s="58"/>
      <c r="F51" s="58"/>
      <c r="G51" s="58"/>
      <c r="H51" s="58"/>
    </row>
    <row r="52" spans="1:8" x14ac:dyDescent="0.25">
      <c r="A52" s="56"/>
      <c r="B52" s="56"/>
      <c r="C52" s="60"/>
      <c r="D52" s="58"/>
      <c r="E52" s="58"/>
      <c r="F52" s="58"/>
      <c r="G52" s="58"/>
      <c r="H52" s="58"/>
    </row>
    <row r="53" spans="1:8" x14ac:dyDescent="0.25">
      <c r="A53" s="56"/>
      <c r="B53" s="56"/>
      <c r="C53" s="60"/>
      <c r="D53" s="58"/>
      <c r="E53" s="58"/>
      <c r="F53" s="58"/>
      <c r="G53" s="58"/>
      <c r="H53" s="58"/>
    </row>
    <row r="54" spans="1:8" x14ac:dyDescent="0.25">
      <c r="A54" s="56"/>
      <c r="B54" s="56"/>
      <c r="C54" s="60"/>
      <c r="D54" s="58"/>
      <c r="E54" s="58"/>
      <c r="F54" s="58"/>
      <c r="G54" s="58"/>
      <c r="H54" s="58"/>
    </row>
    <row r="55" spans="1:8" x14ac:dyDescent="0.25">
      <c r="A55" s="56"/>
      <c r="B55" s="56"/>
      <c r="C55" s="60"/>
      <c r="D55" s="58"/>
      <c r="E55" s="58"/>
      <c r="F55" s="58"/>
      <c r="G55" s="58"/>
      <c r="H55" s="58"/>
    </row>
    <row r="56" spans="1:8" x14ac:dyDescent="0.25">
      <c r="A56" s="56"/>
      <c r="B56" s="56"/>
      <c r="C56" s="60"/>
      <c r="D56" s="58"/>
      <c r="E56" s="58"/>
      <c r="F56" s="58"/>
      <c r="G56" s="58"/>
      <c r="H56" s="58"/>
    </row>
    <row r="57" spans="1:8" x14ac:dyDescent="0.25">
      <c r="A57" s="56"/>
      <c r="B57" s="56"/>
      <c r="C57" s="60"/>
      <c r="D57" s="58"/>
      <c r="E57" s="58"/>
      <c r="F57" s="61"/>
      <c r="G57" s="61"/>
      <c r="H57" s="61"/>
    </row>
    <row r="58" spans="1:8" x14ac:dyDescent="0.25">
      <c r="A58" s="56"/>
      <c r="B58" s="56"/>
      <c r="C58" s="60"/>
      <c r="D58" s="58"/>
      <c r="E58" s="58"/>
      <c r="F58" s="61"/>
      <c r="G58" s="61"/>
      <c r="H58" s="61"/>
    </row>
    <row r="59" spans="1:8" x14ac:dyDescent="0.25">
      <c r="A59" s="56"/>
      <c r="B59" s="56"/>
      <c r="C59" s="60"/>
      <c r="D59" s="58"/>
      <c r="E59" s="58"/>
      <c r="F59" s="58"/>
      <c r="G59" s="58"/>
      <c r="H59" s="58"/>
    </row>
    <row r="60" spans="1:8" x14ac:dyDescent="0.25">
      <c r="A60" s="56"/>
      <c r="B60" s="56"/>
      <c r="C60" s="60"/>
      <c r="D60" s="58"/>
      <c r="E60" s="58"/>
      <c r="F60" s="58"/>
      <c r="G60" s="58"/>
      <c r="H60" s="58"/>
    </row>
    <row r="61" spans="1:8" x14ac:dyDescent="0.25">
      <c r="A61" s="56"/>
      <c r="B61" s="56"/>
      <c r="C61" s="60"/>
      <c r="D61" s="58"/>
      <c r="E61" s="58"/>
      <c r="F61" s="58"/>
      <c r="G61" s="58"/>
      <c r="H61" s="58"/>
    </row>
    <row r="62" spans="1:8" x14ac:dyDescent="0.25">
      <c r="A62" s="56"/>
      <c r="B62" s="56"/>
      <c r="C62" s="60"/>
      <c r="D62" s="58"/>
      <c r="E62" s="58"/>
      <c r="F62" s="58"/>
      <c r="G62" s="58"/>
      <c r="H62" s="58"/>
    </row>
    <row r="63" spans="1:8" x14ac:dyDescent="0.25">
      <c r="A63" s="56"/>
      <c r="B63" s="56"/>
      <c r="C63" s="60"/>
      <c r="D63" s="58"/>
      <c r="E63" s="58"/>
      <c r="F63" s="58"/>
      <c r="G63" s="58"/>
      <c r="H63" s="58"/>
    </row>
    <row r="64" spans="1:8" x14ac:dyDescent="0.25">
      <c r="A64" s="56"/>
      <c r="B64" s="56"/>
      <c r="C64" s="60"/>
      <c r="D64" s="58"/>
      <c r="E64" s="58"/>
      <c r="F64" s="58"/>
      <c r="G64" s="58"/>
      <c r="H64" s="58"/>
    </row>
    <row r="65" spans="1:8" x14ac:dyDescent="0.25">
      <c r="A65" s="56"/>
      <c r="B65" s="56"/>
      <c r="C65" s="60"/>
      <c r="D65" s="58"/>
      <c r="E65" s="58"/>
      <c r="F65" s="61"/>
      <c r="G65" s="61"/>
      <c r="H65" s="61"/>
    </row>
    <row r="66" spans="1:8" x14ac:dyDescent="0.25">
      <c r="A66" s="56"/>
      <c r="B66" s="56"/>
      <c r="C66" s="60"/>
      <c r="D66" s="58"/>
      <c r="E66" s="58"/>
      <c r="F66" s="58"/>
      <c r="G66" s="58"/>
      <c r="H66" s="58"/>
    </row>
    <row r="67" spans="1:8" x14ac:dyDescent="0.25">
      <c r="A67" s="56"/>
      <c r="B67" s="56"/>
      <c r="C67" s="60"/>
      <c r="D67" s="58"/>
      <c r="E67" s="58"/>
      <c r="F67" s="58"/>
      <c r="G67" s="58"/>
      <c r="H67" s="58"/>
    </row>
    <row r="68" spans="1:8" x14ac:dyDescent="0.25">
      <c r="A68" s="56"/>
      <c r="B68" s="56"/>
      <c r="C68" s="60"/>
      <c r="D68" s="58"/>
      <c r="E68" s="58"/>
      <c r="F68" s="58"/>
      <c r="G68" s="58"/>
      <c r="H68" s="58"/>
    </row>
    <row r="69" spans="1:8" x14ac:dyDescent="0.25">
      <c r="A69" s="56"/>
      <c r="B69" s="56"/>
      <c r="C69" s="60"/>
      <c r="D69" s="58"/>
      <c r="E69" s="58"/>
      <c r="F69" s="58"/>
      <c r="G69" s="58"/>
      <c r="H69" s="58"/>
    </row>
    <row r="70" spans="1:8" x14ac:dyDescent="0.25">
      <c r="A70" s="56"/>
      <c r="B70" s="56"/>
      <c r="C70" s="60"/>
      <c r="D70" s="58"/>
      <c r="E70" s="58"/>
      <c r="F70" s="58"/>
      <c r="G70" s="58"/>
      <c r="H70" s="58"/>
    </row>
    <row r="71" spans="1:8" x14ac:dyDescent="0.25">
      <c r="A71" s="56"/>
      <c r="B71" s="56"/>
      <c r="C71" s="60"/>
      <c r="D71" s="58"/>
      <c r="E71" s="58"/>
      <c r="F71" s="58"/>
      <c r="G71" s="58"/>
      <c r="H71" s="58"/>
    </row>
    <row r="72" spans="1:8" x14ac:dyDescent="0.25">
      <c r="A72" s="56"/>
      <c r="B72" s="56"/>
      <c r="C72" s="60"/>
      <c r="D72" s="58"/>
      <c r="E72" s="58"/>
      <c r="F72" s="58"/>
      <c r="G72" s="58"/>
      <c r="H72" s="58"/>
    </row>
    <row r="73" spans="1:8" x14ac:dyDescent="0.25">
      <c r="A73" s="56"/>
      <c r="B73" s="56"/>
      <c r="C73" s="60"/>
      <c r="D73" s="58"/>
      <c r="E73" s="58"/>
      <c r="F73" s="58"/>
      <c r="G73" s="58"/>
      <c r="H73" s="58"/>
    </row>
    <row r="74" spans="1:8" x14ac:dyDescent="0.25">
      <c r="A74" s="56"/>
      <c r="B74" s="56"/>
      <c r="C74" s="60"/>
      <c r="D74" s="58"/>
      <c r="E74" s="58"/>
      <c r="F74" s="58"/>
      <c r="G74" s="58"/>
      <c r="H74" s="58"/>
    </row>
    <row r="75" spans="1:8" x14ac:dyDescent="0.25">
      <c r="A75" s="56"/>
      <c r="B75" s="56"/>
      <c r="C75" s="60"/>
      <c r="D75" s="58"/>
      <c r="E75" s="58"/>
      <c r="F75" s="58"/>
      <c r="G75" s="58"/>
      <c r="H75" s="58"/>
    </row>
    <row r="76" spans="1:8" x14ac:dyDescent="0.25">
      <c r="A76" s="56"/>
      <c r="B76" s="56"/>
      <c r="C76" s="60"/>
      <c r="D76" s="58"/>
      <c r="E76" s="58"/>
      <c r="F76" s="58"/>
      <c r="G76" s="58"/>
      <c r="H76" s="58"/>
    </row>
    <row r="78" spans="1:8" ht="30.75" customHeight="1" x14ac:dyDescent="0.25"/>
    <row r="80" spans="1:8" ht="30" customHeight="1" x14ac:dyDescent="0.25"/>
  </sheetData>
  <mergeCells count="5">
    <mergeCell ref="A1:C1"/>
    <mergeCell ref="A2:C2"/>
    <mergeCell ref="A3:C3"/>
    <mergeCell ref="A6:H6"/>
    <mergeCell ref="A5:D5"/>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02A5-F62F-4A19-AD96-4AE3456A4728}">
  <sheetPr>
    <tabColor theme="5"/>
  </sheetPr>
  <dimension ref="A1:P80"/>
  <sheetViews>
    <sheetView showWhiteSpace="0" zoomScale="90" zoomScaleNormal="90" zoomScaleSheetLayoutView="85" zoomScalePageLayoutView="70" workbookViewId="0">
      <selection activeCell="C20" sqref="C20"/>
    </sheetView>
  </sheetViews>
  <sheetFormatPr baseColWidth="10" defaultColWidth="11.42578125" defaultRowHeight="15" x14ac:dyDescent="0.25"/>
  <cols>
    <col min="1" max="1" width="8.42578125" customWidth="1"/>
    <col min="2" max="2" width="12.28515625" customWidth="1"/>
    <col min="3" max="3" width="49.85546875" customWidth="1"/>
    <col min="4" max="6" width="16" customWidth="1"/>
    <col min="7" max="9" width="19.42578125" customWidth="1"/>
    <col min="10" max="12" width="14.28515625" customWidth="1"/>
    <col min="13" max="13" width="8.42578125" customWidth="1"/>
    <col min="15" max="15"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28.5" customHeight="1" thickTop="1" x14ac:dyDescent="0.25">
      <c r="A4" s="177" t="s">
        <v>532</v>
      </c>
      <c r="B4" s="178"/>
      <c r="C4" s="178"/>
      <c r="D4" s="175"/>
      <c r="E4" s="175"/>
      <c r="F4" s="176"/>
      <c r="G4" s="175"/>
      <c r="H4" s="4"/>
      <c r="N4" s="4"/>
      <c r="O4" s="4"/>
      <c r="P4" s="4"/>
    </row>
    <row r="5" spans="1:16" ht="15" customHeight="1" x14ac:dyDescent="0.25">
      <c r="A5" s="182" t="s">
        <v>531</v>
      </c>
      <c r="B5" s="182"/>
      <c r="C5" s="182"/>
      <c r="D5" s="182"/>
      <c r="E5" s="182"/>
      <c r="F5" s="182"/>
      <c r="G5" s="182"/>
      <c r="H5" s="182"/>
      <c r="I5" s="182"/>
    </row>
    <row r="7" spans="1:16" s="34" customFormat="1" ht="39.75" customHeight="1" x14ac:dyDescent="0.25">
      <c r="A7"/>
      <c r="B7"/>
      <c r="C7"/>
      <c r="D7"/>
      <c r="E7" s="194" t="s">
        <v>274</v>
      </c>
      <c r="F7" s="195"/>
      <c r="G7" s="185" t="s">
        <v>275</v>
      </c>
      <c r="H7" s="185"/>
      <c r="I7"/>
      <c r="J7"/>
      <c r="K7"/>
      <c r="L7"/>
      <c r="M7"/>
    </row>
    <row r="8" spans="1:16" s="34" customFormat="1" ht="39.75" customHeight="1" x14ac:dyDescent="0.25">
      <c r="A8" s="17" t="s">
        <v>27</v>
      </c>
      <c r="B8" s="17" t="s">
        <v>267</v>
      </c>
      <c r="C8" s="18" t="s">
        <v>276</v>
      </c>
      <c r="D8" s="17" t="s">
        <v>2</v>
      </c>
      <c r="E8" s="17" t="s">
        <v>277</v>
      </c>
      <c r="F8" s="17" t="s">
        <v>278</v>
      </c>
      <c r="G8" s="17">
        <v>2017</v>
      </c>
      <c r="H8" s="17">
        <v>2018</v>
      </c>
      <c r="I8" s="17" t="s">
        <v>279</v>
      </c>
      <c r="J8"/>
      <c r="K8"/>
      <c r="L8"/>
      <c r="M8"/>
    </row>
    <row r="9" spans="1:16" x14ac:dyDescent="0.25">
      <c r="A9" s="64">
        <v>1</v>
      </c>
      <c r="B9" s="64">
        <v>18791032</v>
      </c>
      <c r="C9" s="65" t="s">
        <v>280</v>
      </c>
      <c r="D9" s="66" t="s">
        <v>3</v>
      </c>
      <c r="E9" s="66" t="s">
        <v>281</v>
      </c>
      <c r="F9" s="66"/>
      <c r="G9" s="66"/>
      <c r="H9" s="66" t="s">
        <v>281</v>
      </c>
      <c r="I9" s="67">
        <v>45007</v>
      </c>
    </row>
    <row r="10" spans="1:16" x14ac:dyDescent="0.25">
      <c r="A10" s="64">
        <v>2</v>
      </c>
      <c r="B10" s="64">
        <v>18791026</v>
      </c>
      <c r="C10" s="65" t="s">
        <v>282</v>
      </c>
      <c r="D10" s="66" t="s">
        <v>3</v>
      </c>
      <c r="E10" s="66"/>
      <c r="F10" s="66" t="s">
        <v>281</v>
      </c>
      <c r="G10" s="66"/>
      <c r="H10" s="66" t="s">
        <v>281</v>
      </c>
      <c r="I10" s="67">
        <v>45007</v>
      </c>
    </row>
    <row r="11" spans="1:16" x14ac:dyDescent="0.25">
      <c r="A11" s="156">
        <v>3</v>
      </c>
      <c r="B11" s="156">
        <v>18791010</v>
      </c>
      <c r="C11" s="157" t="s">
        <v>517</v>
      </c>
      <c r="D11" s="158" t="s">
        <v>3</v>
      </c>
      <c r="E11" s="158" t="s">
        <v>281</v>
      </c>
      <c r="F11" s="158"/>
      <c r="G11" s="158"/>
      <c r="H11" s="158" t="s">
        <v>281</v>
      </c>
      <c r="I11" s="159">
        <v>45044</v>
      </c>
    </row>
    <row r="12" spans="1:16" x14ac:dyDescent="0.25">
      <c r="A12" s="156">
        <v>4</v>
      </c>
      <c r="B12" s="156">
        <v>18791019</v>
      </c>
      <c r="C12" s="157" t="s">
        <v>292</v>
      </c>
      <c r="D12" s="158" t="s">
        <v>3</v>
      </c>
      <c r="E12" s="158"/>
      <c r="F12" s="158" t="s">
        <v>281</v>
      </c>
      <c r="G12" s="158"/>
      <c r="H12" s="158" t="s">
        <v>281</v>
      </c>
      <c r="I12" s="159">
        <v>45057</v>
      </c>
    </row>
    <row r="13" spans="1:16" x14ac:dyDescent="0.25">
      <c r="A13" s="156">
        <v>5</v>
      </c>
      <c r="B13" s="156">
        <v>18791005</v>
      </c>
      <c r="C13" s="157" t="s">
        <v>290</v>
      </c>
      <c r="D13" s="158" t="s">
        <v>3</v>
      </c>
      <c r="E13" s="158" t="s">
        <v>281</v>
      </c>
      <c r="F13" s="158"/>
      <c r="G13" s="158"/>
      <c r="H13" s="158" t="s">
        <v>281</v>
      </c>
      <c r="I13" s="159">
        <v>45057</v>
      </c>
    </row>
    <row r="14" spans="1:16" x14ac:dyDescent="0.25">
      <c r="A14" s="56"/>
      <c r="B14" s="56"/>
      <c r="C14" s="60"/>
      <c r="D14" s="58"/>
      <c r="E14" s="58"/>
      <c r="F14" s="58"/>
      <c r="G14" s="58"/>
      <c r="H14" s="58"/>
      <c r="I14" s="58"/>
    </row>
    <row r="15" spans="1:16" x14ac:dyDescent="0.25">
      <c r="A15" s="56"/>
      <c r="B15" s="56"/>
      <c r="C15" s="60"/>
      <c r="D15" s="58"/>
      <c r="E15" s="58"/>
      <c r="F15" s="58"/>
      <c r="G15" s="58"/>
      <c r="H15" s="58"/>
      <c r="I15" s="58"/>
    </row>
    <row r="16" spans="1:16" x14ac:dyDescent="0.25">
      <c r="A16" s="56"/>
      <c r="B16" s="56"/>
      <c r="C16" s="60"/>
      <c r="D16" s="58"/>
      <c r="E16" s="58"/>
      <c r="F16" s="58"/>
      <c r="G16" s="58"/>
      <c r="H16" s="58"/>
      <c r="I16" s="58"/>
    </row>
    <row r="17" spans="1:9" x14ac:dyDescent="0.25">
      <c r="A17" s="56"/>
      <c r="B17" s="56"/>
      <c r="C17" s="60"/>
      <c r="D17" s="58"/>
      <c r="E17" s="58"/>
      <c r="F17" s="58"/>
      <c r="G17" s="58"/>
      <c r="H17" s="58"/>
      <c r="I17" s="58"/>
    </row>
    <row r="18" spans="1:9" x14ac:dyDescent="0.25">
      <c r="A18" s="56"/>
      <c r="B18" s="56"/>
      <c r="C18" s="60"/>
      <c r="D18" s="58"/>
      <c r="E18" s="58"/>
      <c r="F18" s="58"/>
      <c r="G18" s="58"/>
      <c r="H18" s="58"/>
      <c r="I18" s="58"/>
    </row>
    <row r="19" spans="1:9" x14ac:dyDescent="0.25">
      <c r="A19" s="56"/>
      <c r="B19" s="56"/>
      <c r="C19" s="60"/>
      <c r="D19" s="58"/>
      <c r="E19" s="58"/>
      <c r="F19" s="58"/>
      <c r="G19" s="58"/>
      <c r="H19" s="58"/>
      <c r="I19" s="58"/>
    </row>
    <row r="20" spans="1:9" x14ac:dyDescent="0.25">
      <c r="A20" s="56"/>
      <c r="B20" s="56"/>
      <c r="C20" s="60"/>
      <c r="D20" s="58"/>
      <c r="E20" s="58"/>
      <c r="F20" s="58"/>
      <c r="G20" s="58"/>
      <c r="H20" s="58"/>
      <c r="I20" s="58"/>
    </row>
    <row r="21" spans="1:9" x14ac:dyDescent="0.25">
      <c r="A21" s="56"/>
      <c r="B21" s="56"/>
      <c r="C21" s="60"/>
      <c r="D21" s="58"/>
      <c r="E21" s="58"/>
      <c r="F21" s="58"/>
      <c r="G21" s="61"/>
      <c r="H21" s="61"/>
      <c r="I21" s="61"/>
    </row>
    <row r="22" spans="1:9" x14ac:dyDescent="0.25">
      <c r="A22" s="56"/>
      <c r="B22" s="56"/>
      <c r="C22" s="60"/>
      <c r="D22" s="58"/>
      <c r="E22" s="58"/>
      <c r="F22" s="58"/>
      <c r="G22" s="58"/>
      <c r="H22" s="58"/>
      <c r="I22" s="58"/>
    </row>
    <row r="23" spans="1:9" x14ac:dyDescent="0.25">
      <c r="A23" s="56"/>
      <c r="B23" s="56"/>
      <c r="C23" s="60"/>
      <c r="D23" s="58"/>
      <c r="E23" s="58"/>
      <c r="F23" s="58"/>
      <c r="G23" s="58"/>
      <c r="H23" s="58"/>
      <c r="I23" s="58"/>
    </row>
    <row r="24" spans="1:9" x14ac:dyDescent="0.25">
      <c r="A24" s="56"/>
      <c r="B24" s="56"/>
      <c r="C24" s="60"/>
      <c r="D24" s="62"/>
      <c r="E24" s="62"/>
      <c r="F24" s="62"/>
      <c r="G24" s="58"/>
      <c r="H24" s="58"/>
      <c r="I24" s="58"/>
    </row>
    <row r="25" spans="1:9" x14ac:dyDescent="0.25">
      <c r="A25" s="56"/>
      <c r="B25" s="56"/>
      <c r="C25" s="60"/>
      <c r="D25" s="62"/>
      <c r="E25" s="62"/>
      <c r="F25" s="62"/>
      <c r="G25" s="58"/>
      <c r="H25" s="58"/>
      <c r="I25" s="58"/>
    </row>
    <row r="26" spans="1:9" x14ac:dyDescent="0.25">
      <c r="A26" s="56"/>
      <c r="B26" s="56"/>
      <c r="C26" s="60"/>
      <c r="D26" s="62"/>
      <c r="E26" s="62"/>
      <c r="F26" s="62"/>
      <c r="G26" s="58"/>
      <c r="H26" s="58"/>
      <c r="I26" s="58"/>
    </row>
    <row r="27" spans="1:9" x14ac:dyDescent="0.25">
      <c r="A27" s="56"/>
      <c r="B27" s="56"/>
      <c r="C27" s="60"/>
      <c r="D27" s="62"/>
      <c r="E27" s="62"/>
      <c r="F27" s="62"/>
      <c r="G27" s="58"/>
      <c r="H27" s="58"/>
      <c r="I27" s="58"/>
    </row>
    <row r="28" spans="1:9" x14ac:dyDescent="0.25">
      <c r="A28" s="56"/>
      <c r="B28" s="56"/>
      <c r="C28" s="60"/>
      <c r="D28" s="62"/>
      <c r="E28" s="62"/>
      <c r="F28" s="62"/>
      <c r="G28" s="58"/>
      <c r="H28" s="58"/>
      <c r="I28" s="58"/>
    </row>
    <row r="29" spans="1:9" x14ac:dyDescent="0.25">
      <c r="A29" s="56"/>
      <c r="B29" s="56"/>
      <c r="C29" s="60"/>
      <c r="D29" s="62"/>
      <c r="E29" s="62"/>
      <c r="F29" s="62"/>
      <c r="G29" s="58"/>
      <c r="H29" s="58"/>
      <c r="I29" s="58"/>
    </row>
    <row r="30" spans="1:9" x14ac:dyDescent="0.25">
      <c r="A30" s="56"/>
      <c r="B30" s="56"/>
      <c r="C30" s="60"/>
      <c r="D30" s="58"/>
      <c r="E30" s="58"/>
      <c r="F30" s="58"/>
      <c r="G30" s="58"/>
      <c r="H30" s="58"/>
      <c r="I30" s="58"/>
    </row>
    <row r="31" spans="1:9" x14ac:dyDescent="0.25">
      <c r="A31" s="56"/>
      <c r="B31" s="56"/>
      <c r="C31" s="60"/>
      <c r="D31" s="58"/>
      <c r="E31" s="58"/>
      <c r="F31" s="58"/>
      <c r="G31" s="58"/>
      <c r="H31" s="58"/>
      <c r="I31" s="58"/>
    </row>
    <row r="32" spans="1:9" x14ac:dyDescent="0.25">
      <c r="A32" s="56"/>
      <c r="B32" s="56"/>
      <c r="C32" s="60"/>
      <c r="D32" s="58"/>
      <c r="E32" s="58"/>
      <c r="F32" s="58"/>
      <c r="G32" s="58"/>
      <c r="H32" s="58"/>
      <c r="I32" s="58"/>
    </row>
    <row r="33" spans="1:9" x14ac:dyDescent="0.25">
      <c r="A33" s="56"/>
      <c r="B33" s="56"/>
      <c r="C33" s="60"/>
      <c r="D33" s="58"/>
      <c r="E33" s="58"/>
      <c r="F33" s="58"/>
      <c r="G33" s="58"/>
      <c r="H33" s="58"/>
      <c r="I33" s="58"/>
    </row>
    <row r="34" spans="1:9" x14ac:dyDescent="0.25">
      <c r="A34" s="56"/>
      <c r="B34" s="56"/>
      <c r="C34" s="60"/>
      <c r="D34" s="58"/>
      <c r="E34" s="58"/>
      <c r="F34" s="58"/>
      <c r="G34" s="58"/>
      <c r="H34" s="58"/>
      <c r="I34" s="58"/>
    </row>
    <row r="35" spans="1:9" x14ac:dyDescent="0.25">
      <c r="A35" s="56"/>
      <c r="B35" s="56"/>
      <c r="C35" s="60"/>
      <c r="D35" s="58"/>
      <c r="E35" s="58"/>
      <c r="F35" s="58"/>
      <c r="G35" s="58"/>
      <c r="H35" s="58"/>
      <c r="I35" s="58"/>
    </row>
    <row r="36" spans="1:9" x14ac:dyDescent="0.25">
      <c r="A36" s="56"/>
      <c r="B36" s="56"/>
      <c r="C36" s="60"/>
      <c r="D36" s="58"/>
      <c r="E36" s="58"/>
      <c r="F36" s="58"/>
      <c r="G36" s="58"/>
      <c r="H36" s="58"/>
      <c r="I36" s="58"/>
    </row>
    <row r="37" spans="1:9" x14ac:dyDescent="0.25">
      <c r="A37" s="56"/>
      <c r="B37" s="56"/>
      <c r="C37" s="60"/>
      <c r="D37" s="58"/>
      <c r="E37" s="58"/>
      <c r="F37" s="58"/>
      <c r="G37" s="58"/>
      <c r="H37" s="58"/>
      <c r="I37" s="58"/>
    </row>
    <row r="38" spans="1:9" x14ac:dyDescent="0.25">
      <c r="A38" s="56"/>
      <c r="B38" s="56"/>
      <c r="C38" s="60"/>
      <c r="D38" s="58"/>
      <c r="E38" s="58"/>
      <c r="F38" s="58"/>
      <c r="G38" s="58"/>
      <c r="H38" s="58"/>
      <c r="I38" s="58"/>
    </row>
    <row r="39" spans="1:9" x14ac:dyDescent="0.25">
      <c r="A39" s="56"/>
      <c r="B39" s="56"/>
      <c r="C39" s="60"/>
      <c r="D39" s="58"/>
      <c r="E39" s="58"/>
      <c r="F39" s="58"/>
      <c r="G39" s="58"/>
      <c r="H39" s="58"/>
      <c r="I39" s="58"/>
    </row>
    <row r="40" spans="1:9" x14ac:dyDescent="0.25">
      <c r="A40" s="56"/>
      <c r="B40" s="56"/>
      <c r="C40" s="60"/>
      <c r="D40" s="63"/>
      <c r="E40" s="63"/>
      <c r="F40" s="63"/>
      <c r="G40" s="58"/>
      <c r="H40" s="58"/>
      <c r="I40" s="58"/>
    </row>
    <row r="41" spans="1:9" x14ac:dyDescent="0.25">
      <c r="A41" s="56"/>
      <c r="B41" s="56"/>
      <c r="C41" s="60"/>
      <c r="D41" s="63"/>
      <c r="E41" s="63"/>
      <c r="F41" s="63"/>
      <c r="G41" s="58"/>
      <c r="H41" s="58"/>
      <c r="I41" s="58"/>
    </row>
    <row r="42" spans="1:9" x14ac:dyDescent="0.25">
      <c r="A42" s="56"/>
      <c r="B42" s="56"/>
      <c r="C42" s="60"/>
      <c r="D42" s="58"/>
      <c r="E42" s="58"/>
      <c r="F42" s="58"/>
      <c r="G42" s="61"/>
      <c r="H42" s="61"/>
      <c r="I42" s="61"/>
    </row>
    <row r="43" spans="1:9" x14ac:dyDescent="0.25">
      <c r="A43" s="56"/>
      <c r="B43" s="56"/>
      <c r="C43" s="60"/>
      <c r="D43" s="58"/>
      <c r="E43" s="58"/>
      <c r="F43" s="58"/>
      <c r="G43" s="58"/>
      <c r="H43" s="58"/>
      <c r="I43" s="58"/>
    </row>
    <row r="44" spans="1:9" x14ac:dyDescent="0.25">
      <c r="A44" s="56"/>
      <c r="B44" s="56"/>
      <c r="C44" s="60"/>
      <c r="D44" s="58"/>
      <c r="E44" s="58"/>
      <c r="F44" s="58"/>
      <c r="G44" s="58"/>
      <c r="H44" s="58"/>
      <c r="I44" s="58"/>
    </row>
    <row r="45" spans="1:9" x14ac:dyDescent="0.25">
      <c r="A45" s="56"/>
      <c r="B45" s="56"/>
      <c r="C45" s="60"/>
      <c r="D45" s="58"/>
      <c r="E45" s="58"/>
      <c r="F45" s="58"/>
      <c r="G45" s="58"/>
      <c r="H45" s="58"/>
      <c r="I45" s="58"/>
    </row>
    <row r="46" spans="1:9" x14ac:dyDescent="0.25">
      <c r="A46" s="56"/>
      <c r="B46" s="56"/>
      <c r="C46" s="60"/>
      <c r="D46" s="58"/>
      <c r="E46" s="58"/>
      <c r="F46" s="58"/>
      <c r="G46" s="58"/>
      <c r="H46" s="58"/>
      <c r="I46" s="58"/>
    </row>
    <row r="47" spans="1:9" x14ac:dyDescent="0.25">
      <c r="A47" s="56"/>
      <c r="B47" s="56"/>
      <c r="C47" s="60"/>
      <c r="D47" s="58"/>
      <c r="E47" s="58"/>
      <c r="F47" s="58"/>
      <c r="G47" s="58"/>
      <c r="H47" s="58"/>
      <c r="I47" s="58"/>
    </row>
    <row r="48" spans="1:9" x14ac:dyDescent="0.25">
      <c r="A48" s="56"/>
      <c r="B48" s="56"/>
      <c r="C48" s="60"/>
      <c r="D48" s="58"/>
      <c r="E48" s="58"/>
      <c r="F48" s="58"/>
      <c r="G48" s="58"/>
      <c r="H48" s="58"/>
      <c r="I48" s="58"/>
    </row>
    <row r="49" spans="1:9" x14ac:dyDescent="0.25">
      <c r="A49" s="56"/>
      <c r="B49" s="56"/>
      <c r="C49" s="60"/>
      <c r="D49" s="58"/>
      <c r="E49" s="58"/>
      <c r="F49" s="58"/>
      <c r="G49" s="58"/>
      <c r="H49" s="58"/>
      <c r="I49" s="58"/>
    </row>
    <row r="50" spans="1:9" x14ac:dyDescent="0.25">
      <c r="A50" s="56"/>
      <c r="B50" s="56"/>
      <c r="C50" s="60"/>
      <c r="D50" s="58"/>
      <c r="E50" s="58"/>
      <c r="F50" s="58"/>
      <c r="G50" s="58"/>
      <c r="H50" s="58"/>
      <c r="I50" s="58"/>
    </row>
    <row r="51" spans="1:9" x14ac:dyDescent="0.25">
      <c r="A51" s="56"/>
      <c r="B51" s="56"/>
      <c r="C51" s="60"/>
      <c r="D51" s="58"/>
      <c r="E51" s="58"/>
      <c r="F51" s="58"/>
      <c r="G51" s="58"/>
      <c r="H51" s="58"/>
      <c r="I51" s="58"/>
    </row>
    <row r="52" spans="1:9" x14ac:dyDescent="0.25">
      <c r="A52" s="56"/>
      <c r="B52" s="56"/>
      <c r="C52" s="60"/>
      <c r="D52" s="58"/>
      <c r="E52" s="58"/>
      <c r="F52" s="58"/>
      <c r="G52" s="58"/>
      <c r="H52" s="58"/>
      <c r="I52" s="58"/>
    </row>
    <row r="53" spans="1:9" x14ac:dyDescent="0.25">
      <c r="A53" s="56"/>
      <c r="B53" s="56"/>
      <c r="C53" s="60"/>
      <c r="D53" s="58"/>
      <c r="E53" s="58"/>
      <c r="F53" s="58"/>
      <c r="G53" s="58"/>
      <c r="H53" s="58"/>
      <c r="I53" s="58"/>
    </row>
    <row r="54" spans="1:9" x14ac:dyDescent="0.25">
      <c r="A54" s="56"/>
      <c r="B54" s="56"/>
      <c r="C54" s="60"/>
      <c r="D54" s="58"/>
      <c r="E54" s="58"/>
      <c r="F54" s="58"/>
      <c r="G54" s="58"/>
      <c r="H54" s="58"/>
      <c r="I54" s="58"/>
    </row>
    <row r="55" spans="1:9" x14ac:dyDescent="0.25">
      <c r="A55" s="56"/>
      <c r="B55" s="56"/>
      <c r="C55" s="60"/>
      <c r="D55" s="58"/>
      <c r="E55" s="58"/>
      <c r="F55" s="58"/>
      <c r="G55" s="58"/>
      <c r="H55" s="58"/>
      <c r="I55" s="58"/>
    </row>
    <row r="56" spans="1:9" x14ac:dyDescent="0.25">
      <c r="A56" s="56"/>
      <c r="B56" s="56"/>
      <c r="C56" s="60"/>
      <c r="D56" s="58"/>
      <c r="E56" s="58"/>
      <c r="F56" s="58"/>
      <c r="G56" s="58"/>
      <c r="H56" s="58"/>
      <c r="I56" s="58"/>
    </row>
    <row r="57" spans="1:9" x14ac:dyDescent="0.25">
      <c r="A57" s="56"/>
      <c r="B57" s="56"/>
      <c r="C57" s="60"/>
      <c r="D57" s="58"/>
      <c r="E57" s="58"/>
      <c r="F57" s="58"/>
      <c r="G57" s="61"/>
      <c r="H57" s="61"/>
      <c r="I57" s="61"/>
    </row>
    <row r="58" spans="1:9" x14ac:dyDescent="0.25">
      <c r="A58" s="56"/>
      <c r="B58" s="56"/>
      <c r="C58" s="60"/>
      <c r="D58" s="58"/>
      <c r="E58" s="58"/>
      <c r="F58" s="58"/>
      <c r="G58" s="61"/>
      <c r="H58" s="61"/>
      <c r="I58" s="61"/>
    </row>
    <row r="59" spans="1:9" x14ac:dyDescent="0.25">
      <c r="A59" s="56"/>
      <c r="B59" s="56"/>
      <c r="C59" s="60"/>
      <c r="D59" s="58"/>
      <c r="E59" s="58"/>
      <c r="F59" s="58"/>
      <c r="G59" s="58"/>
      <c r="H59" s="58"/>
      <c r="I59" s="58"/>
    </row>
    <row r="60" spans="1:9" x14ac:dyDescent="0.25">
      <c r="A60" s="56"/>
      <c r="B60" s="56"/>
      <c r="C60" s="60"/>
      <c r="D60" s="58"/>
      <c r="E60" s="58"/>
      <c r="F60" s="58"/>
      <c r="G60" s="58"/>
      <c r="H60" s="58"/>
      <c r="I60" s="58"/>
    </row>
    <row r="61" spans="1:9" x14ac:dyDescent="0.25">
      <c r="A61" s="56"/>
      <c r="B61" s="56"/>
      <c r="C61" s="60"/>
      <c r="D61" s="58"/>
      <c r="E61" s="58"/>
      <c r="F61" s="58"/>
      <c r="G61" s="58"/>
      <c r="H61" s="58"/>
      <c r="I61" s="58"/>
    </row>
    <row r="62" spans="1:9" x14ac:dyDescent="0.25">
      <c r="A62" s="56"/>
      <c r="B62" s="56"/>
      <c r="C62" s="60"/>
      <c r="D62" s="58"/>
      <c r="E62" s="58"/>
      <c r="F62" s="58"/>
      <c r="G62" s="58"/>
      <c r="H62" s="58"/>
      <c r="I62" s="58"/>
    </row>
    <row r="63" spans="1:9" x14ac:dyDescent="0.25">
      <c r="A63" s="56"/>
      <c r="B63" s="56"/>
      <c r="C63" s="60"/>
      <c r="D63" s="58"/>
      <c r="E63" s="58"/>
      <c r="F63" s="58"/>
      <c r="G63" s="58"/>
      <c r="H63" s="58"/>
      <c r="I63" s="58"/>
    </row>
    <row r="64" spans="1:9" x14ac:dyDescent="0.25">
      <c r="A64" s="56"/>
      <c r="B64" s="56"/>
      <c r="C64" s="60"/>
      <c r="D64" s="58"/>
      <c r="E64" s="58"/>
      <c r="F64" s="58"/>
      <c r="G64" s="58"/>
      <c r="H64" s="58"/>
      <c r="I64" s="58"/>
    </row>
    <row r="65" spans="1:9" x14ac:dyDescent="0.25">
      <c r="A65" s="56"/>
      <c r="B65" s="56"/>
      <c r="C65" s="60"/>
      <c r="D65" s="58"/>
      <c r="E65" s="58"/>
      <c r="F65" s="58"/>
      <c r="G65" s="61"/>
      <c r="H65" s="61"/>
      <c r="I65" s="61"/>
    </row>
    <row r="66" spans="1:9" x14ac:dyDescent="0.25">
      <c r="A66" s="56"/>
      <c r="B66" s="56"/>
      <c r="C66" s="60"/>
      <c r="D66" s="58"/>
      <c r="E66" s="58"/>
      <c r="F66" s="58"/>
      <c r="G66" s="58"/>
      <c r="H66" s="58"/>
      <c r="I66" s="58"/>
    </row>
    <row r="67" spans="1:9" x14ac:dyDescent="0.25">
      <c r="A67" s="56"/>
      <c r="B67" s="56"/>
      <c r="C67" s="60"/>
      <c r="D67" s="58"/>
      <c r="E67" s="58"/>
      <c r="F67" s="58"/>
      <c r="G67" s="58"/>
      <c r="H67" s="58"/>
      <c r="I67" s="58"/>
    </row>
    <row r="68" spans="1:9" x14ac:dyDescent="0.25">
      <c r="A68" s="56"/>
      <c r="B68" s="56"/>
      <c r="C68" s="60"/>
      <c r="D68" s="58"/>
      <c r="E68" s="58"/>
      <c r="F68" s="58"/>
      <c r="G68" s="58"/>
      <c r="H68" s="58"/>
      <c r="I68" s="58"/>
    </row>
    <row r="69" spans="1:9" x14ac:dyDescent="0.25">
      <c r="A69" s="56"/>
      <c r="B69" s="56"/>
      <c r="C69" s="60"/>
      <c r="D69" s="58"/>
      <c r="E69" s="58"/>
      <c r="F69" s="58"/>
      <c r="G69" s="58"/>
      <c r="H69" s="58"/>
      <c r="I69" s="58"/>
    </row>
    <row r="70" spans="1:9" x14ac:dyDescent="0.25">
      <c r="A70" s="56"/>
      <c r="B70" s="56"/>
      <c r="C70" s="60"/>
      <c r="D70" s="58"/>
      <c r="E70" s="58"/>
      <c r="F70" s="58"/>
      <c r="G70" s="58"/>
      <c r="H70" s="58"/>
      <c r="I70" s="58"/>
    </row>
    <row r="71" spans="1:9" x14ac:dyDescent="0.25">
      <c r="A71" s="56"/>
      <c r="B71" s="56"/>
      <c r="C71" s="60"/>
      <c r="D71" s="58"/>
      <c r="E71" s="58"/>
      <c r="F71" s="58"/>
      <c r="G71" s="58"/>
      <c r="H71" s="58"/>
      <c r="I71" s="58"/>
    </row>
    <row r="72" spans="1:9" x14ac:dyDescent="0.25">
      <c r="A72" s="56"/>
      <c r="B72" s="56"/>
      <c r="C72" s="60"/>
      <c r="D72" s="58"/>
      <c r="E72" s="58"/>
      <c r="F72" s="58"/>
      <c r="G72" s="58"/>
      <c r="H72" s="58"/>
      <c r="I72" s="58"/>
    </row>
    <row r="73" spans="1:9" x14ac:dyDescent="0.25">
      <c r="A73" s="56"/>
      <c r="B73" s="56"/>
      <c r="C73" s="60"/>
      <c r="D73" s="58"/>
      <c r="E73" s="58"/>
      <c r="F73" s="58"/>
      <c r="G73" s="58"/>
      <c r="H73" s="58"/>
      <c r="I73" s="58"/>
    </row>
    <row r="74" spans="1:9" x14ac:dyDescent="0.25">
      <c r="A74" s="56"/>
      <c r="B74" s="56"/>
      <c r="C74" s="60"/>
      <c r="D74" s="58"/>
      <c r="E74" s="58"/>
      <c r="F74" s="58"/>
      <c r="G74" s="58"/>
      <c r="H74" s="58"/>
      <c r="I74" s="58"/>
    </row>
    <row r="75" spans="1:9" x14ac:dyDescent="0.25">
      <c r="A75" s="56"/>
      <c r="B75" s="56"/>
      <c r="C75" s="60"/>
      <c r="D75" s="58"/>
      <c r="E75" s="58"/>
      <c r="F75" s="58"/>
      <c r="G75" s="58"/>
      <c r="H75" s="58"/>
      <c r="I75" s="58"/>
    </row>
    <row r="76" spans="1:9" x14ac:dyDescent="0.25">
      <c r="A76" s="56"/>
      <c r="B76" s="56"/>
      <c r="C76" s="60"/>
      <c r="D76" s="58"/>
      <c r="E76" s="58"/>
      <c r="F76" s="58"/>
      <c r="G76" s="58"/>
      <c r="H76" s="58"/>
      <c r="I76" s="58"/>
    </row>
    <row r="78" spans="1:9" ht="30.75" customHeight="1" x14ac:dyDescent="0.25"/>
    <row r="80" spans="1:9" ht="30" customHeight="1" x14ac:dyDescent="0.25"/>
  </sheetData>
  <mergeCells count="3">
    <mergeCell ref="A5:I5"/>
    <mergeCell ref="E7:F7"/>
    <mergeCell ref="G7:H7"/>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167F-2596-4EDE-8866-93578C882823}">
  <sheetPr>
    <tabColor theme="5"/>
  </sheetPr>
  <dimension ref="A1:P80"/>
  <sheetViews>
    <sheetView showWhiteSpace="0" zoomScale="90" zoomScaleNormal="90" zoomScaleSheetLayoutView="85" zoomScalePageLayoutView="70" workbookViewId="0">
      <selection activeCell="C13" sqref="C13"/>
    </sheetView>
  </sheetViews>
  <sheetFormatPr baseColWidth="10" defaultColWidth="11.42578125" defaultRowHeight="15" x14ac:dyDescent="0.25"/>
  <cols>
    <col min="1" max="1" width="8.42578125" customWidth="1"/>
    <col min="2" max="2" width="12.28515625" customWidth="1"/>
    <col min="3" max="3" width="49.85546875" customWidth="1"/>
    <col min="4" max="6" width="16" customWidth="1"/>
    <col min="7" max="11" width="19.42578125" customWidth="1"/>
    <col min="12" max="14" width="14.28515625" customWidth="1"/>
    <col min="15" max="15" width="8.42578125" customWidth="1"/>
    <col min="17" max="17"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20.25" customHeight="1" thickTop="1" x14ac:dyDescent="0.25">
      <c r="A4" s="196" t="s">
        <v>534</v>
      </c>
      <c r="B4" s="196"/>
      <c r="C4" s="196"/>
      <c r="D4" s="175"/>
      <c r="E4" s="175"/>
      <c r="F4" s="176"/>
      <c r="G4" s="175"/>
      <c r="H4" s="4"/>
      <c r="N4" s="4"/>
      <c r="O4" s="4"/>
      <c r="P4" s="4"/>
    </row>
    <row r="5" spans="1:16" ht="15" customHeight="1" x14ac:dyDescent="0.25">
      <c r="A5" s="182" t="s">
        <v>533</v>
      </c>
      <c r="B5" s="182"/>
      <c r="C5" s="182"/>
      <c r="D5" s="182"/>
      <c r="E5" s="182"/>
      <c r="F5" s="182"/>
      <c r="G5" s="182"/>
      <c r="H5" s="182"/>
      <c r="I5" s="182"/>
      <c r="J5" s="182"/>
      <c r="K5" s="182"/>
    </row>
    <row r="7" spans="1:16" s="34" customFormat="1" ht="39.75" customHeight="1" x14ac:dyDescent="0.25">
      <c r="A7"/>
      <c r="B7"/>
      <c r="C7"/>
      <c r="D7"/>
      <c r="E7" s="194" t="s">
        <v>274</v>
      </c>
      <c r="F7" s="195"/>
      <c r="G7" s="194" t="s">
        <v>275</v>
      </c>
      <c r="H7" s="184"/>
      <c r="I7" s="184"/>
      <c r="J7" s="195"/>
      <c r="K7"/>
      <c r="L7"/>
      <c r="M7"/>
      <c r="N7"/>
      <c r="O7"/>
    </row>
    <row r="8" spans="1:16" s="34" customFormat="1" ht="39.75" customHeight="1" x14ac:dyDescent="0.25">
      <c r="A8" s="17" t="s">
        <v>27</v>
      </c>
      <c r="B8" s="17" t="s">
        <v>267</v>
      </c>
      <c r="C8" s="18" t="s">
        <v>283</v>
      </c>
      <c r="D8" s="17" t="s">
        <v>2</v>
      </c>
      <c r="E8" s="17" t="s">
        <v>277</v>
      </c>
      <c r="F8" s="17" t="s">
        <v>278</v>
      </c>
      <c r="G8" s="17">
        <v>2016</v>
      </c>
      <c r="H8" s="17">
        <v>2017</v>
      </c>
      <c r="I8" s="17">
        <v>2018</v>
      </c>
      <c r="J8" s="17">
        <v>2019</v>
      </c>
      <c r="K8" s="17" t="s">
        <v>284</v>
      </c>
      <c r="L8"/>
      <c r="M8"/>
      <c r="N8"/>
      <c r="O8"/>
    </row>
    <row r="9" spans="1:16" x14ac:dyDescent="0.25">
      <c r="A9" s="64">
        <v>1</v>
      </c>
      <c r="B9" s="64">
        <v>18791007</v>
      </c>
      <c r="C9" s="68" t="s">
        <v>285</v>
      </c>
      <c r="D9" s="66" t="s">
        <v>3</v>
      </c>
      <c r="E9" s="66" t="s">
        <v>281</v>
      </c>
      <c r="F9" s="66"/>
      <c r="G9" s="66"/>
      <c r="H9" s="66"/>
      <c r="I9" s="66" t="s">
        <v>281</v>
      </c>
      <c r="J9" s="66"/>
      <c r="K9" s="66">
        <v>44911</v>
      </c>
    </row>
    <row r="10" spans="1:16" x14ac:dyDescent="0.25">
      <c r="A10" s="64">
        <v>2</v>
      </c>
      <c r="B10" s="64">
        <v>18791025</v>
      </c>
      <c r="C10" s="68" t="s">
        <v>286</v>
      </c>
      <c r="D10" s="66" t="s">
        <v>3</v>
      </c>
      <c r="E10" s="66" t="s">
        <v>281</v>
      </c>
      <c r="F10" s="66"/>
      <c r="G10" s="66"/>
      <c r="H10" s="66"/>
      <c r="I10" s="66" t="s">
        <v>281</v>
      </c>
      <c r="J10" s="66"/>
      <c r="K10" s="66">
        <v>44911</v>
      </c>
    </row>
    <row r="11" spans="1:16" x14ac:dyDescent="0.25">
      <c r="A11" s="64">
        <v>3</v>
      </c>
      <c r="B11" s="64">
        <v>18791026</v>
      </c>
      <c r="C11" s="68" t="s">
        <v>282</v>
      </c>
      <c r="D11" s="66" t="s">
        <v>3</v>
      </c>
      <c r="E11" s="66"/>
      <c r="F11" s="66" t="s">
        <v>281</v>
      </c>
      <c r="G11" s="66"/>
      <c r="H11" s="66"/>
      <c r="I11" s="66" t="s">
        <v>281</v>
      </c>
      <c r="J11" s="66"/>
      <c r="K11" s="66">
        <v>44911</v>
      </c>
    </row>
    <row r="12" spans="1:16" x14ac:dyDescent="0.25">
      <c r="A12" s="64">
        <v>4</v>
      </c>
      <c r="B12" s="64">
        <v>18791032</v>
      </c>
      <c r="C12" s="68" t="s">
        <v>280</v>
      </c>
      <c r="D12" s="66" t="s">
        <v>3</v>
      </c>
      <c r="E12" s="66" t="s">
        <v>281</v>
      </c>
      <c r="F12" s="66"/>
      <c r="G12" s="66"/>
      <c r="H12" s="66"/>
      <c r="I12" s="66" t="s">
        <v>281</v>
      </c>
      <c r="J12" s="66"/>
      <c r="K12" s="66">
        <v>44911</v>
      </c>
    </row>
    <row r="13" spans="1:16" x14ac:dyDescent="0.25">
      <c r="A13" s="64">
        <v>5</v>
      </c>
      <c r="B13" s="64">
        <v>18791036</v>
      </c>
      <c r="C13" s="68" t="s">
        <v>287</v>
      </c>
      <c r="D13" s="66" t="s">
        <v>3</v>
      </c>
      <c r="E13" s="66"/>
      <c r="F13" s="66" t="s">
        <v>281</v>
      </c>
      <c r="G13" s="66"/>
      <c r="H13" s="66"/>
      <c r="I13" s="66" t="s">
        <v>281</v>
      </c>
      <c r="J13" s="66"/>
      <c r="K13" s="66">
        <v>44911</v>
      </c>
    </row>
    <row r="14" spans="1:16" x14ac:dyDescent="0.25">
      <c r="A14" s="64">
        <v>6</v>
      </c>
      <c r="B14" s="64">
        <v>18791010</v>
      </c>
      <c r="C14" s="68" t="s">
        <v>288</v>
      </c>
      <c r="D14" s="66" t="s">
        <v>3</v>
      </c>
      <c r="E14" s="66" t="s">
        <v>281</v>
      </c>
      <c r="F14" s="66"/>
      <c r="G14" s="66"/>
      <c r="H14" s="66"/>
      <c r="I14" s="66" t="s">
        <v>281</v>
      </c>
      <c r="J14" s="66"/>
      <c r="K14" s="66">
        <v>44911</v>
      </c>
    </row>
    <row r="15" spans="1:16" x14ac:dyDescent="0.25">
      <c r="A15" s="64">
        <v>7</v>
      </c>
      <c r="B15" s="64">
        <v>18791004</v>
      </c>
      <c r="C15" s="68" t="s">
        <v>289</v>
      </c>
      <c r="D15" s="66" t="s">
        <v>3</v>
      </c>
      <c r="E15" s="66" t="s">
        <v>281</v>
      </c>
      <c r="F15" s="66"/>
      <c r="G15" s="66"/>
      <c r="H15" s="66"/>
      <c r="I15" s="66" t="s">
        <v>281</v>
      </c>
      <c r="J15" s="66"/>
      <c r="K15" s="66">
        <v>44911</v>
      </c>
    </row>
    <row r="16" spans="1:16" x14ac:dyDescent="0.25">
      <c r="A16" s="64">
        <v>8</v>
      </c>
      <c r="B16" s="64">
        <v>18791005</v>
      </c>
      <c r="C16" s="68" t="s">
        <v>290</v>
      </c>
      <c r="D16" s="66" t="s">
        <v>3</v>
      </c>
      <c r="E16" s="66" t="s">
        <v>281</v>
      </c>
      <c r="F16" s="66"/>
      <c r="G16" s="66"/>
      <c r="H16" s="66"/>
      <c r="I16" s="66" t="s">
        <v>281</v>
      </c>
      <c r="J16" s="66"/>
      <c r="K16" s="66">
        <v>44911</v>
      </c>
    </row>
    <row r="17" spans="1:11" x14ac:dyDescent="0.25">
      <c r="A17" s="64">
        <v>9</v>
      </c>
      <c r="B17" s="64">
        <v>18791011</v>
      </c>
      <c r="C17" s="68" t="s">
        <v>291</v>
      </c>
      <c r="D17" s="66" t="s">
        <v>3</v>
      </c>
      <c r="E17" s="66"/>
      <c r="F17" s="66" t="s">
        <v>281</v>
      </c>
      <c r="G17" s="66"/>
      <c r="H17" s="66"/>
      <c r="I17" s="66" t="s">
        <v>281</v>
      </c>
      <c r="J17" s="66"/>
      <c r="K17" s="66">
        <v>44911</v>
      </c>
    </row>
    <row r="18" spans="1:11" x14ac:dyDescent="0.25">
      <c r="A18" s="64">
        <v>10</v>
      </c>
      <c r="B18" s="64">
        <v>18791019</v>
      </c>
      <c r="C18" s="68" t="s">
        <v>292</v>
      </c>
      <c r="D18" s="66" t="s">
        <v>3</v>
      </c>
      <c r="E18" s="66"/>
      <c r="F18" s="66" t="s">
        <v>281</v>
      </c>
      <c r="G18" s="66"/>
      <c r="H18" s="66"/>
      <c r="I18" s="66" t="s">
        <v>281</v>
      </c>
      <c r="J18" s="66"/>
      <c r="K18" s="66">
        <v>44911</v>
      </c>
    </row>
    <row r="19" spans="1:11" x14ac:dyDescent="0.25">
      <c r="A19" s="64">
        <v>11</v>
      </c>
      <c r="B19" s="64">
        <v>18791021</v>
      </c>
      <c r="C19" s="68" t="s">
        <v>293</v>
      </c>
      <c r="D19" s="66" t="s">
        <v>3</v>
      </c>
      <c r="E19" s="66" t="s">
        <v>281</v>
      </c>
      <c r="F19" s="66"/>
      <c r="G19" s="66"/>
      <c r="H19" s="66"/>
      <c r="I19" s="66" t="s">
        <v>281</v>
      </c>
      <c r="J19" s="66"/>
      <c r="K19" s="66">
        <v>44911</v>
      </c>
    </row>
    <row r="20" spans="1:11" x14ac:dyDescent="0.25">
      <c r="A20" s="64">
        <v>12</v>
      </c>
      <c r="B20" s="64">
        <v>18791022</v>
      </c>
      <c r="C20" s="68" t="s">
        <v>294</v>
      </c>
      <c r="D20" s="66" t="s">
        <v>3</v>
      </c>
      <c r="E20" s="66"/>
      <c r="F20" s="66" t="s">
        <v>281</v>
      </c>
      <c r="G20" s="66"/>
      <c r="H20" s="66"/>
      <c r="I20" s="66" t="s">
        <v>281</v>
      </c>
      <c r="J20" s="66"/>
      <c r="K20" s="66">
        <v>44911</v>
      </c>
    </row>
    <row r="21" spans="1:11" x14ac:dyDescent="0.25">
      <c r="A21" s="56"/>
      <c r="B21" s="56"/>
      <c r="C21" s="60"/>
      <c r="D21" s="58"/>
      <c r="E21" s="58"/>
      <c r="F21" s="58"/>
      <c r="G21" s="61"/>
      <c r="H21" s="61"/>
      <c r="I21" s="61"/>
      <c r="J21" s="61"/>
      <c r="K21" s="61"/>
    </row>
    <row r="22" spans="1:11" x14ac:dyDescent="0.25">
      <c r="A22" s="56"/>
      <c r="B22" s="56"/>
      <c r="C22" s="60"/>
      <c r="D22" s="58"/>
      <c r="E22" s="58"/>
      <c r="F22" s="58"/>
      <c r="G22" s="58"/>
      <c r="H22" s="58"/>
      <c r="I22" s="58"/>
      <c r="J22" s="58"/>
      <c r="K22" s="58"/>
    </row>
    <row r="23" spans="1:11" x14ac:dyDescent="0.25">
      <c r="A23" s="56"/>
      <c r="B23" s="56"/>
      <c r="C23" s="60"/>
      <c r="D23" s="58"/>
      <c r="E23" s="58"/>
      <c r="F23" s="58"/>
      <c r="G23" s="58"/>
      <c r="H23" s="58"/>
      <c r="I23" s="58"/>
      <c r="J23" s="58"/>
      <c r="K23" s="58"/>
    </row>
    <row r="24" spans="1:11" x14ac:dyDescent="0.25">
      <c r="A24" s="56"/>
      <c r="B24" s="56"/>
      <c r="C24" s="60"/>
      <c r="D24" s="62"/>
      <c r="E24" s="62"/>
      <c r="F24" s="62"/>
      <c r="G24" s="58"/>
      <c r="H24" s="58"/>
      <c r="I24" s="58"/>
      <c r="J24" s="58"/>
      <c r="K24" s="58"/>
    </row>
    <row r="25" spans="1:11" x14ac:dyDescent="0.25">
      <c r="A25" s="56"/>
      <c r="B25" s="56"/>
      <c r="C25" s="60"/>
      <c r="D25" s="62"/>
      <c r="E25" s="62"/>
      <c r="F25" s="62"/>
      <c r="G25" s="58"/>
      <c r="H25" s="58"/>
      <c r="I25" s="58"/>
      <c r="J25" s="58"/>
      <c r="K25" s="58"/>
    </row>
    <row r="26" spans="1:11" x14ac:dyDescent="0.25">
      <c r="A26" s="56"/>
      <c r="B26" s="56"/>
      <c r="C26" s="60"/>
      <c r="D26" s="62"/>
      <c r="E26" s="62"/>
      <c r="F26" s="62"/>
      <c r="G26" s="58"/>
      <c r="H26" s="58"/>
      <c r="I26" s="58"/>
      <c r="J26" s="58"/>
      <c r="K26" s="58"/>
    </row>
    <row r="27" spans="1:11" x14ac:dyDescent="0.25">
      <c r="A27" s="56"/>
      <c r="B27" s="56"/>
      <c r="C27" s="60"/>
      <c r="D27" s="62"/>
      <c r="E27" s="62"/>
      <c r="F27" s="62"/>
      <c r="G27" s="58"/>
      <c r="H27" s="58"/>
      <c r="I27" s="58"/>
      <c r="J27" s="58"/>
      <c r="K27" s="58"/>
    </row>
    <row r="28" spans="1:11" x14ac:dyDescent="0.25">
      <c r="A28" s="56"/>
      <c r="B28" s="56"/>
      <c r="C28" s="60"/>
      <c r="D28" s="62"/>
      <c r="E28" s="62"/>
      <c r="F28" s="62"/>
      <c r="G28" s="58"/>
      <c r="H28" s="58"/>
      <c r="I28" s="58"/>
      <c r="J28" s="58"/>
      <c r="K28" s="58"/>
    </row>
    <row r="29" spans="1:11" x14ac:dyDescent="0.25">
      <c r="A29" s="56"/>
      <c r="B29" s="56"/>
      <c r="C29" s="60"/>
      <c r="D29" s="62"/>
      <c r="E29" s="62"/>
      <c r="F29" s="62"/>
      <c r="G29" s="58"/>
      <c r="H29" s="58"/>
      <c r="I29" s="58"/>
      <c r="J29" s="58"/>
      <c r="K29" s="58"/>
    </row>
    <row r="30" spans="1:11" x14ac:dyDescent="0.25">
      <c r="A30" s="56"/>
      <c r="B30" s="56"/>
      <c r="C30" s="60"/>
      <c r="D30" s="58"/>
      <c r="E30" s="58"/>
      <c r="F30" s="58"/>
      <c r="G30" s="58"/>
      <c r="H30" s="58"/>
      <c r="I30" s="58"/>
      <c r="J30" s="58"/>
      <c r="K30" s="58"/>
    </row>
    <row r="31" spans="1:11" x14ac:dyDescent="0.25">
      <c r="A31" s="56"/>
      <c r="B31" s="56"/>
      <c r="C31" s="60"/>
      <c r="D31" s="58"/>
      <c r="E31" s="58"/>
      <c r="F31" s="58"/>
      <c r="G31" s="58"/>
      <c r="H31" s="58"/>
      <c r="I31" s="58"/>
      <c r="J31" s="58"/>
      <c r="K31" s="58"/>
    </row>
    <row r="32" spans="1:11" x14ac:dyDescent="0.25">
      <c r="A32" s="56"/>
      <c r="B32" s="56"/>
      <c r="C32" s="60"/>
      <c r="D32" s="58"/>
      <c r="E32" s="58"/>
      <c r="F32" s="58"/>
      <c r="G32" s="58"/>
      <c r="H32" s="58"/>
      <c r="I32" s="58"/>
      <c r="J32" s="58"/>
      <c r="K32" s="58"/>
    </row>
    <row r="33" spans="1:11" x14ac:dyDescent="0.25">
      <c r="A33" s="56"/>
      <c r="B33" s="56"/>
      <c r="C33" s="60"/>
      <c r="D33" s="58"/>
      <c r="E33" s="58"/>
      <c r="F33" s="58"/>
      <c r="G33" s="58"/>
      <c r="H33" s="58"/>
      <c r="I33" s="58"/>
      <c r="J33" s="58"/>
      <c r="K33" s="58"/>
    </row>
    <row r="34" spans="1:11" x14ac:dyDescent="0.25">
      <c r="A34" s="56"/>
      <c r="B34" s="56"/>
      <c r="C34" s="60"/>
      <c r="D34" s="58"/>
      <c r="E34" s="58"/>
      <c r="F34" s="58"/>
      <c r="G34" s="58"/>
      <c r="H34" s="58"/>
      <c r="I34" s="58"/>
      <c r="J34" s="58"/>
      <c r="K34" s="58"/>
    </row>
    <row r="35" spans="1:11" x14ac:dyDescent="0.25">
      <c r="A35" s="56"/>
      <c r="B35" s="56"/>
      <c r="C35" s="60"/>
      <c r="D35" s="58"/>
      <c r="E35" s="58"/>
      <c r="F35" s="58"/>
      <c r="G35" s="58"/>
      <c r="H35" s="58"/>
      <c r="I35" s="58"/>
      <c r="J35" s="58"/>
      <c r="K35" s="58"/>
    </row>
    <row r="36" spans="1:11" x14ac:dyDescent="0.25">
      <c r="A36" s="56"/>
      <c r="B36" s="56"/>
      <c r="C36" s="60"/>
      <c r="D36" s="58"/>
      <c r="E36" s="58"/>
      <c r="F36" s="58"/>
      <c r="G36" s="58"/>
      <c r="H36" s="58"/>
      <c r="I36" s="58"/>
      <c r="J36" s="58"/>
      <c r="K36" s="58"/>
    </row>
    <row r="37" spans="1:11" x14ac:dyDescent="0.25">
      <c r="A37" s="56"/>
      <c r="B37" s="56"/>
      <c r="C37" s="60"/>
      <c r="D37" s="58"/>
      <c r="E37" s="58"/>
      <c r="F37" s="58"/>
      <c r="G37" s="58"/>
      <c r="H37" s="58"/>
      <c r="I37" s="58"/>
      <c r="J37" s="58"/>
      <c r="K37" s="58"/>
    </row>
    <row r="38" spans="1:11" x14ac:dyDescent="0.25">
      <c r="A38" s="56"/>
      <c r="B38" s="56"/>
      <c r="C38" s="60"/>
      <c r="D38" s="58"/>
      <c r="E38" s="58"/>
      <c r="F38" s="58"/>
      <c r="G38" s="58"/>
      <c r="H38" s="58"/>
      <c r="I38" s="58"/>
      <c r="J38" s="58"/>
      <c r="K38" s="58"/>
    </row>
    <row r="39" spans="1:11" x14ac:dyDescent="0.25">
      <c r="A39" s="56"/>
      <c r="B39" s="56"/>
      <c r="C39" s="60"/>
      <c r="D39" s="58"/>
      <c r="E39" s="58"/>
      <c r="F39" s="58"/>
      <c r="G39" s="58"/>
      <c r="H39" s="58"/>
      <c r="I39" s="58"/>
      <c r="J39" s="58"/>
      <c r="K39" s="58" t="s">
        <v>295</v>
      </c>
    </row>
    <row r="40" spans="1:11" x14ac:dyDescent="0.25">
      <c r="A40" s="56"/>
      <c r="B40" s="56"/>
      <c r="C40" s="60"/>
      <c r="D40" s="63"/>
      <c r="E40" s="63"/>
      <c r="F40" s="63"/>
      <c r="G40" s="58"/>
      <c r="H40" s="58"/>
      <c r="I40" s="58"/>
      <c r="J40" s="58"/>
      <c r="K40" s="58"/>
    </row>
    <row r="41" spans="1:11" x14ac:dyDescent="0.25">
      <c r="A41" s="56"/>
      <c r="B41" s="56"/>
      <c r="C41" s="60"/>
      <c r="D41" s="63"/>
      <c r="E41" s="63"/>
      <c r="F41" s="63"/>
      <c r="G41" s="58"/>
      <c r="H41" s="58"/>
      <c r="I41" s="58"/>
      <c r="J41" s="58"/>
      <c r="K41" s="58"/>
    </row>
    <row r="42" spans="1:11" x14ac:dyDescent="0.25">
      <c r="A42" s="56"/>
      <c r="B42" s="56"/>
      <c r="C42" s="60"/>
      <c r="D42" s="58"/>
      <c r="E42" s="58"/>
      <c r="F42" s="58"/>
      <c r="G42" s="61"/>
      <c r="H42" s="61"/>
      <c r="I42" s="61"/>
      <c r="J42" s="61"/>
      <c r="K42" s="61"/>
    </row>
    <row r="43" spans="1:11" x14ac:dyDescent="0.25">
      <c r="A43" s="56"/>
      <c r="B43" s="56"/>
      <c r="C43" s="60"/>
      <c r="D43" s="58"/>
      <c r="E43" s="58"/>
      <c r="F43" s="58"/>
      <c r="G43" s="58"/>
      <c r="H43" s="58"/>
      <c r="I43" s="58"/>
      <c r="J43" s="58"/>
      <c r="K43" s="58"/>
    </row>
    <row r="44" spans="1:11" x14ac:dyDescent="0.25">
      <c r="A44" s="56"/>
      <c r="B44" s="56"/>
      <c r="C44" s="60"/>
      <c r="D44" s="58"/>
      <c r="E44" s="58"/>
      <c r="F44" s="58"/>
      <c r="G44" s="58"/>
      <c r="H44" s="58"/>
      <c r="I44" s="58"/>
      <c r="J44" s="58"/>
      <c r="K44" s="58"/>
    </row>
    <row r="45" spans="1:11" x14ac:dyDescent="0.25">
      <c r="A45" s="56"/>
      <c r="B45" s="56"/>
      <c r="C45" s="60"/>
      <c r="D45" s="58"/>
      <c r="E45" s="58"/>
      <c r="F45" s="58"/>
      <c r="G45" s="58"/>
      <c r="H45" s="58"/>
      <c r="I45" s="58"/>
      <c r="J45" s="58"/>
      <c r="K45" s="58"/>
    </row>
    <row r="46" spans="1:11" x14ac:dyDescent="0.25">
      <c r="A46" s="56"/>
      <c r="B46" s="56"/>
      <c r="C46" s="60"/>
      <c r="D46" s="58"/>
      <c r="E46" s="58"/>
      <c r="F46" s="58"/>
      <c r="G46" s="58"/>
      <c r="H46" s="58"/>
      <c r="I46" s="58"/>
      <c r="J46" s="58"/>
      <c r="K46" s="58"/>
    </row>
    <row r="47" spans="1:11" x14ac:dyDescent="0.25">
      <c r="A47" s="56"/>
      <c r="B47" s="56"/>
      <c r="C47" s="60"/>
      <c r="D47" s="58"/>
      <c r="E47" s="58"/>
      <c r="F47" s="58"/>
      <c r="G47" s="58"/>
      <c r="H47" s="58"/>
      <c r="I47" s="58"/>
      <c r="J47" s="58"/>
      <c r="K47" s="58"/>
    </row>
    <row r="48" spans="1:11" x14ac:dyDescent="0.25">
      <c r="A48" s="56"/>
      <c r="B48" s="56"/>
      <c r="C48" s="60"/>
      <c r="D48" s="58"/>
      <c r="E48" s="58"/>
      <c r="F48" s="58"/>
      <c r="G48" s="58"/>
      <c r="H48" s="58"/>
      <c r="I48" s="58"/>
      <c r="J48" s="58"/>
      <c r="K48" s="58"/>
    </row>
    <row r="49" spans="1:11" x14ac:dyDescent="0.25">
      <c r="A49" s="56"/>
      <c r="B49" s="56"/>
      <c r="C49" s="60"/>
      <c r="D49" s="58"/>
      <c r="E49" s="58"/>
      <c r="F49" s="58"/>
      <c r="G49" s="58"/>
      <c r="H49" s="58"/>
      <c r="I49" s="58"/>
      <c r="J49" s="58"/>
      <c r="K49" s="58"/>
    </row>
    <row r="50" spans="1:11" x14ac:dyDescent="0.25">
      <c r="A50" s="56"/>
      <c r="B50" s="56"/>
      <c r="C50" s="60"/>
      <c r="D50" s="58"/>
      <c r="E50" s="58"/>
      <c r="F50" s="58"/>
      <c r="G50" s="58"/>
      <c r="H50" s="58"/>
      <c r="I50" s="58"/>
      <c r="J50" s="58"/>
      <c r="K50" s="58"/>
    </row>
    <row r="51" spans="1:11" x14ac:dyDescent="0.25">
      <c r="A51" s="56"/>
      <c r="B51" s="56"/>
      <c r="C51" s="60"/>
      <c r="D51" s="58"/>
      <c r="E51" s="58"/>
      <c r="F51" s="58"/>
      <c r="G51" s="58"/>
      <c r="H51" s="58"/>
      <c r="I51" s="58"/>
      <c r="J51" s="58"/>
      <c r="K51" s="58"/>
    </row>
    <row r="52" spans="1:11" x14ac:dyDescent="0.25">
      <c r="A52" s="56"/>
      <c r="B52" s="56"/>
      <c r="C52" s="60"/>
      <c r="D52" s="58"/>
      <c r="E52" s="58"/>
      <c r="F52" s="58"/>
      <c r="G52" s="58"/>
      <c r="H52" s="58"/>
      <c r="I52" s="58"/>
      <c r="J52" s="58"/>
      <c r="K52" s="58"/>
    </row>
    <row r="53" spans="1:11" x14ac:dyDescent="0.25">
      <c r="A53" s="56"/>
      <c r="B53" s="56"/>
      <c r="C53" s="60"/>
      <c r="D53" s="58"/>
      <c r="E53" s="58"/>
      <c r="F53" s="58"/>
      <c r="G53" s="58"/>
      <c r="H53" s="58"/>
      <c r="I53" s="58"/>
      <c r="J53" s="58"/>
      <c r="K53" s="58"/>
    </row>
    <row r="54" spans="1:11" x14ac:dyDescent="0.25">
      <c r="A54" s="56"/>
      <c r="B54" s="56"/>
      <c r="C54" s="60"/>
      <c r="D54" s="58"/>
      <c r="E54" s="58"/>
      <c r="F54" s="58"/>
      <c r="G54" s="58"/>
      <c r="H54" s="58"/>
      <c r="I54" s="58"/>
      <c r="J54" s="58"/>
      <c r="K54" s="58"/>
    </row>
    <row r="55" spans="1:11" x14ac:dyDescent="0.25">
      <c r="A55" s="56"/>
      <c r="B55" s="56"/>
      <c r="C55" s="60"/>
      <c r="D55" s="58"/>
      <c r="E55" s="58"/>
      <c r="F55" s="58"/>
      <c r="G55" s="58"/>
      <c r="H55" s="58"/>
      <c r="I55" s="58"/>
      <c r="J55" s="58"/>
      <c r="K55" s="58"/>
    </row>
    <row r="56" spans="1:11" x14ac:dyDescent="0.25">
      <c r="A56" s="56"/>
      <c r="B56" s="56"/>
      <c r="C56" s="60"/>
      <c r="D56" s="58"/>
      <c r="E56" s="58"/>
      <c r="F56" s="58"/>
      <c r="G56" s="58"/>
      <c r="H56" s="58"/>
      <c r="I56" s="58"/>
      <c r="J56" s="58"/>
      <c r="K56" s="58"/>
    </row>
    <row r="57" spans="1:11" x14ac:dyDescent="0.25">
      <c r="A57" s="56"/>
      <c r="B57" s="56"/>
      <c r="C57" s="60"/>
      <c r="D57" s="58"/>
      <c r="E57" s="58"/>
      <c r="F57" s="58"/>
      <c r="G57" s="61"/>
      <c r="H57" s="61"/>
      <c r="I57" s="61"/>
      <c r="J57" s="61"/>
      <c r="K57" s="61"/>
    </row>
    <row r="58" spans="1:11" x14ac:dyDescent="0.25">
      <c r="A58" s="56"/>
      <c r="B58" s="56"/>
      <c r="C58" s="60"/>
      <c r="D58" s="58"/>
      <c r="E58" s="58"/>
      <c r="F58" s="58"/>
      <c r="G58" s="61"/>
      <c r="H58" s="61"/>
      <c r="I58" s="61"/>
      <c r="J58" s="61"/>
      <c r="K58" s="61"/>
    </row>
    <row r="59" spans="1:11" x14ac:dyDescent="0.25">
      <c r="A59" s="56"/>
      <c r="B59" s="56"/>
      <c r="C59" s="60"/>
      <c r="D59" s="58"/>
      <c r="E59" s="58"/>
      <c r="F59" s="58"/>
      <c r="G59" s="58"/>
      <c r="H59" s="58"/>
      <c r="I59" s="58"/>
      <c r="J59" s="58"/>
      <c r="K59" s="58"/>
    </row>
    <row r="60" spans="1:11" x14ac:dyDescent="0.25">
      <c r="A60" s="56"/>
      <c r="B60" s="56"/>
      <c r="C60" s="60"/>
      <c r="D60" s="58"/>
      <c r="E60" s="58"/>
      <c r="F60" s="58"/>
      <c r="G60" s="58"/>
      <c r="H60" s="58"/>
      <c r="I60" s="58"/>
      <c r="J60" s="58"/>
      <c r="K60" s="58"/>
    </row>
    <row r="61" spans="1:11" x14ac:dyDescent="0.25">
      <c r="A61" s="56"/>
      <c r="B61" s="56"/>
      <c r="C61" s="60"/>
      <c r="D61" s="58"/>
      <c r="E61" s="58"/>
      <c r="F61" s="58"/>
      <c r="G61" s="58"/>
      <c r="H61" s="58"/>
      <c r="I61" s="58"/>
      <c r="J61" s="58"/>
      <c r="K61" s="58"/>
    </row>
    <row r="62" spans="1:11" x14ac:dyDescent="0.25">
      <c r="A62" s="56"/>
      <c r="B62" s="56"/>
      <c r="C62" s="60"/>
      <c r="D62" s="58"/>
      <c r="E62" s="58"/>
      <c r="F62" s="58"/>
      <c r="G62" s="58"/>
      <c r="H62" s="58"/>
      <c r="I62" s="58"/>
      <c r="J62" s="58"/>
      <c r="K62" s="58"/>
    </row>
    <row r="63" spans="1:11" x14ac:dyDescent="0.25">
      <c r="A63" s="56"/>
      <c r="B63" s="56"/>
      <c r="C63" s="60"/>
      <c r="D63" s="58"/>
      <c r="E63" s="58"/>
      <c r="F63" s="58"/>
      <c r="G63" s="58"/>
      <c r="H63" s="58"/>
      <c r="I63" s="58"/>
      <c r="J63" s="58"/>
      <c r="K63" s="58"/>
    </row>
    <row r="64" spans="1:11" x14ac:dyDescent="0.25">
      <c r="A64" s="56"/>
      <c r="B64" s="56"/>
      <c r="C64" s="60"/>
      <c r="D64" s="58"/>
      <c r="E64" s="58"/>
      <c r="F64" s="58"/>
      <c r="G64" s="58"/>
      <c r="H64" s="58"/>
      <c r="I64" s="58"/>
      <c r="J64" s="58"/>
      <c r="K64" s="58"/>
    </row>
    <row r="65" spans="1:11" x14ac:dyDescent="0.25">
      <c r="A65" s="56"/>
      <c r="B65" s="56"/>
      <c r="C65" s="60"/>
      <c r="D65" s="58"/>
      <c r="E65" s="58"/>
      <c r="F65" s="58"/>
      <c r="G65" s="61"/>
      <c r="H65" s="61"/>
      <c r="I65" s="61"/>
      <c r="J65" s="61"/>
      <c r="K65" s="61"/>
    </row>
    <row r="66" spans="1:11" x14ac:dyDescent="0.25">
      <c r="A66" s="56"/>
      <c r="B66" s="56"/>
      <c r="C66" s="60"/>
      <c r="D66" s="58"/>
      <c r="E66" s="58"/>
      <c r="F66" s="58"/>
      <c r="G66" s="58"/>
      <c r="H66" s="58"/>
      <c r="I66" s="58"/>
      <c r="J66" s="58"/>
      <c r="K66" s="58"/>
    </row>
    <row r="67" spans="1:11" x14ac:dyDescent="0.25">
      <c r="A67" s="56"/>
      <c r="B67" s="56"/>
      <c r="C67" s="60"/>
      <c r="D67" s="58"/>
      <c r="E67" s="58"/>
      <c r="F67" s="58"/>
      <c r="G67" s="58"/>
      <c r="H67" s="58"/>
      <c r="I67" s="58"/>
      <c r="J67" s="58"/>
      <c r="K67" s="58"/>
    </row>
    <row r="68" spans="1:11" x14ac:dyDescent="0.25">
      <c r="A68" s="56"/>
      <c r="B68" s="56"/>
      <c r="C68" s="60"/>
      <c r="D68" s="58"/>
      <c r="E68" s="58"/>
      <c r="F68" s="58"/>
      <c r="G68" s="58"/>
      <c r="H68" s="58"/>
      <c r="I68" s="58"/>
      <c r="J68" s="58"/>
      <c r="K68" s="58"/>
    </row>
    <row r="69" spans="1:11" x14ac:dyDescent="0.25">
      <c r="A69" s="56"/>
      <c r="B69" s="56"/>
      <c r="C69" s="60"/>
      <c r="D69" s="58"/>
      <c r="E69" s="58"/>
      <c r="F69" s="58"/>
      <c r="G69" s="58"/>
      <c r="H69" s="58"/>
      <c r="I69" s="58"/>
      <c r="J69" s="58"/>
      <c r="K69" s="58"/>
    </row>
    <row r="70" spans="1:11" x14ac:dyDescent="0.25">
      <c r="A70" s="56"/>
      <c r="B70" s="56"/>
      <c r="C70" s="60"/>
      <c r="D70" s="58"/>
      <c r="E70" s="58"/>
      <c r="F70" s="58"/>
      <c r="G70" s="58"/>
      <c r="H70" s="58"/>
      <c r="I70" s="58"/>
      <c r="J70" s="58"/>
      <c r="K70" s="58"/>
    </row>
    <row r="71" spans="1:11" x14ac:dyDescent="0.25">
      <c r="A71" s="56"/>
      <c r="B71" s="56"/>
      <c r="C71" s="60"/>
      <c r="D71" s="58"/>
      <c r="E71" s="58"/>
      <c r="F71" s="58"/>
      <c r="G71" s="58"/>
      <c r="H71" s="58"/>
      <c r="I71" s="58"/>
      <c r="J71" s="58"/>
      <c r="K71" s="58"/>
    </row>
    <row r="72" spans="1:11" x14ac:dyDescent="0.25">
      <c r="A72" s="56"/>
      <c r="B72" s="56"/>
      <c r="C72" s="60"/>
      <c r="D72" s="58"/>
      <c r="E72" s="58"/>
      <c r="F72" s="58"/>
      <c r="G72" s="58"/>
      <c r="H72" s="58"/>
      <c r="I72" s="58"/>
      <c r="J72" s="58"/>
      <c r="K72" s="58"/>
    </row>
    <row r="73" spans="1:11" x14ac:dyDescent="0.25">
      <c r="A73" s="56"/>
      <c r="B73" s="56"/>
      <c r="C73" s="60"/>
      <c r="D73" s="58"/>
      <c r="E73" s="58"/>
      <c r="F73" s="58"/>
      <c r="G73" s="58"/>
      <c r="H73" s="58"/>
      <c r="I73" s="58"/>
      <c r="J73" s="58"/>
      <c r="K73" s="58"/>
    </row>
    <row r="74" spans="1:11" x14ac:dyDescent="0.25">
      <c r="A74" s="56"/>
      <c r="B74" s="56"/>
      <c r="C74" s="60"/>
      <c r="D74" s="58"/>
      <c r="E74" s="58"/>
      <c r="F74" s="58"/>
      <c r="G74" s="58"/>
      <c r="H74" s="58"/>
      <c r="I74" s="58"/>
      <c r="J74" s="58"/>
      <c r="K74" s="58"/>
    </row>
    <row r="75" spans="1:11" x14ac:dyDescent="0.25">
      <c r="A75" s="56"/>
      <c r="B75" s="56"/>
      <c r="C75" s="60"/>
      <c r="D75" s="58"/>
      <c r="E75" s="58"/>
      <c r="F75" s="58"/>
      <c r="G75" s="58"/>
      <c r="H75" s="58"/>
      <c r="I75" s="58"/>
      <c r="J75" s="58"/>
      <c r="K75" s="58"/>
    </row>
    <row r="76" spans="1:11" x14ac:dyDescent="0.25">
      <c r="A76" s="56"/>
      <c r="B76" s="56"/>
      <c r="C76" s="60"/>
      <c r="D76" s="58"/>
      <c r="E76" s="58"/>
      <c r="F76" s="58"/>
      <c r="G76" s="58"/>
      <c r="H76" s="58"/>
      <c r="I76" s="58"/>
      <c r="J76" s="58"/>
      <c r="K76" s="58"/>
    </row>
    <row r="78" spans="1:11" ht="30.75" customHeight="1" x14ac:dyDescent="0.25"/>
    <row r="80" spans="1:11" ht="30" customHeight="1" x14ac:dyDescent="0.25"/>
  </sheetData>
  <mergeCells count="4">
    <mergeCell ref="A5:K5"/>
    <mergeCell ref="E7:F7"/>
    <mergeCell ref="G7:J7"/>
    <mergeCell ref="A4:C4"/>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6A1F-997D-4108-8A34-308D2BC1495E}">
  <sheetPr>
    <tabColor theme="5"/>
  </sheetPr>
  <dimension ref="A1:P80"/>
  <sheetViews>
    <sheetView showWhiteSpace="0" zoomScale="90" zoomScaleNormal="90" zoomScaleSheetLayoutView="85" zoomScalePageLayoutView="70" workbookViewId="0">
      <selection activeCell="C19" sqref="C19"/>
    </sheetView>
  </sheetViews>
  <sheetFormatPr baseColWidth="10" defaultColWidth="11.42578125" defaultRowHeight="15" x14ac:dyDescent="0.25"/>
  <cols>
    <col min="1" max="1" width="8.42578125" customWidth="1"/>
    <col min="2" max="2" width="12.28515625" customWidth="1"/>
    <col min="3" max="3" width="49.85546875" customWidth="1"/>
    <col min="4" max="5" width="16" customWidth="1"/>
    <col min="6" max="8" width="19.42578125" customWidth="1"/>
    <col min="9" max="11" width="14.28515625" customWidth="1"/>
    <col min="12" max="12" width="8.42578125" customWidth="1"/>
    <col min="14" max="14"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20.25" customHeight="1" thickTop="1" x14ac:dyDescent="0.25">
      <c r="A4" s="177" t="s">
        <v>536</v>
      </c>
      <c r="B4" s="177"/>
      <c r="C4" s="177"/>
      <c r="D4" s="175"/>
      <c r="E4" s="175"/>
      <c r="F4" s="176"/>
      <c r="G4" s="175"/>
      <c r="H4" s="4"/>
      <c r="N4" s="4"/>
      <c r="O4" s="4"/>
      <c r="P4" s="4"/>
    </row>
    <row r="5" spans="1:16" ht="15" customHeight="1" x14ac:dyDescent="0.25">
      <c r="A5" s="182" t="s">
        <v>535</v>
      </c>
      <c r="B5" s="182"/>
      <c r="C5" s="182"/>
      <c r="D5" s="182"/>
      <c r="E5" s="182"/>
      <c r="F5" s="182"/>
      <c r="G5" s="182"/>
      <c r="H5" s="182"/>
    </row>
    <row r="7" spans="1:16" s="34" customFormat="1" ht="39.75" customHeight="1" x14ac:dyDescent="0.25">
      <c r="A7"/>
      <c r="B7"/>
      <c r="C7"/>
      <c r="D7"/>
      <c r="E7"/>
      <c r="F7"/>
      <c r="G7"/>
      <c r="H7"/>
      <c r="I7"/>
      <c r="J7"/>
      <c r="K7"/>
      <c r="L7"/>
    </row>
    <row r="8" spans="1:16" s="34" customFormat="1" ht="39.75" customHeight="1" x14ac:dyDescent="0.25">
      <c r="A8" s="17" t="s">
        <v>27</v>
      </c>
      <c r="B8" s="17" t="s">
        <v>267</v>
      </c>
      <c r="C8" s="18" t="s">
        <v>268</v>
      </c>
      <c r="D8" s="17" t="s">
        <v>2</v>
      </c>
      <c r="E8" s="17" t="s">
        <v>296</v>
      </c>
      <c r="F8" s="17" t="s">
        <v>264</v>
      </c>
      <c r="G8" s="17" t="s">
        <v>297</v>
      </c>
      <c r="H8" s="17" t="s">
        <v>298</v>
      </c>
      <c r="I8"/>
      <c r="J8"/>
      <c r="K8"/>
      <c r="L8"/>
    </row>
    <row r="9" spans="1:16" x14ac:dyDescent="0.25">
      <c r="A9" s="64">
        <v>1</v>
      </c>
      <c r="B9" s="69">
        <v>22791048</v>
      </c>
      <c r="C9" s="70" t="s">
        <v>299</v>
      </c>
      <c r="D9" s="66" t="s">
        <v>3</v>
      </c>
      <c r="E9" s="66" t="s">
        <v>278</v>
      </c>
      <c r="F9" s="66" t="s">
        <v>300</v>
      </c>
      <c r="G9" s="66" t="s">
        <v>301</v>
      </c>
      <c r="H9" s="67">
        <v>44937</v>
      </c>
    </row>
    <row r="10" spans="1:16" x14ac:dyDescent="0.25">
      <c r="A10" s="64">
        <v>2</v>
      </c>
      <c r="B10" s="69">
        <v>22791037</v>
      </c>
      <c r="C10" s="70" t="s">
        <v>302</v>
      </c>
      <c r="D10" s="66" t="s">
        <v>3</v>
      </c>
      <c r="E10" s="66" t="s">
        <v>303</v>
      </c>
      <c r="F10" s="66" t="s">
        <v>300</v>
      </c>
      <c r="G10" s="66" t="s">
        <v>301</v>
      </c>
      <c r="H10" s="67">
        <v>44957</v>
      </c>
    </row>
    <row r="11" spans="1:16" x14ac:dyDescent="0.25">
      <c r="A11" s="64">
        <v>3</v>
      </c>
      <c r="B11" s="69">
        <v>22791051</v>
      </c>
      <c r="C11" s="70" t="s">
        <v>304</v>
      </c>
      <c r="D11" s="69" t="s">
        <v>3</v>
      </c>
      <c r="E11" s="66" t="s">
        <v>278</v>
      </c>
      <c r="F11" s="66" t="s">
        <v>300</v>
      </c>
      <c r="G11" s="66" t="s">
        <v>301</v>
      </c>
      <c r="H11" s="67">
        <v>44959</v>
      </c>
    </row>
    <row r="12" spans="1:16" x14ac:dyDescent="0.25">
      <c r="A12" s="64">
        <v>4</v>
      </c>
      <c r="B12" s="69">
        <v>22791025</v>
      </c>
      <c r="C12" s="70" t="s">
        <v>305</v>
      </c>
      <c r="D12" s="69" t="s">
        <v>3</v>
      </c>
      <c r="E12" s="66" t="s">
        <v>278</v>
      </c>
      <c r="F12" s="66" t="s">
        <v>300</v>
      </c>
      <c r="G12" s="66" t="s">
        <v>301</v>
      </c>
      <c r="H12" s="67">
        <v>44977</v>
      </c>
    </row>
    <row r="13" spans="1:16" x14ac:dyDescent="0.25">
      <c r="A13" s="56"/>
      <c r="B13" s="56"/>
      <c r="C13" s="59"/>
      <c r="D13" s="58"/>
      <c r="E13" s="58"/>
      <c r="F13" s="58"/>
      <c r="G13" s="58"/>
      <c r="H13" s="58"/>
    </row>
    <row r="14" spans="1:16" x14ac:dyDescent="0.25">
      <c r="A14" s="56"/>
      <c r="B14" s="56"/>
      <c r="C14" s="60"/>
      <c r="D14" s="58"/>
      <c r="E14" s="58"/>
      <c r="F14" s="58"/>
      <c r="G14" s="58"/>
      <c r="H14" s="58"/>
    </row>
    <row r="15" spans="1:16" x14ac:dyDescent="0.25">
      <c r="A15" s="56"/>
      <c r="B15" s="56"/>
      <c r="C15" s="60"/>
      <c r="D15" s="58"/>
      <c r="E15" s="58"/>
      <c r="F15" s="58"/>
      <c r="G15" s="58"/>
      <c r="H15" s="58"/>
    </row>
    <row r="16" spans="1:16" x14ac:dyDescent="0.25">
      <c r="A16" s="56"/>
      <c r="B16" s="56"/>
      <c r="C16" s="60"/>
      <c r="D16" s="58"/>
      <c r="E16" s="58"/>
      <c r="F16" s="58"/>
      <c r="G16" s="58"/>
      <c r="H16" s="58"/>
    </row>
    <row r="17" spans="1:8" x14ac:dyDescent="0.25">
      <c r="A17" s="56"/>
      <c r="B17" s="56"/>
      <c r="C17" s="60"/>
      <c r="D17" s="58"/>
      <c r="E17" s="58"/>
      <c r="F17" s="58"/>
      <c r="G17" s="58"/>
      <c r="H17" s="58"/>
    </row>
    <row r="18" spans="1:8" x14ac:dyDescent="0.25">
      <c r="A18" s="56"/>
      <c r="B18" s="56"/>
      <c r="C18" s="60"/>
      <c r="D18" s="58"/>
      <c r="E18" s="58"/>
      <c r="F18" s="58"/>
      <c r="G18" s="58"/>
      <c r="H18" s="58"/>
    </row>
    <row r="19" spans="1:8" x14ac:dyDescent="0.25">
      <c r="A19" s="56"/>
      <c r="B19" s="56"/>
      <c r="C19" s="60"/>
      <c r="D19" s="58"/>
      <c r="E19" s="58"/>
      <c r="F19" s="58"/>
      <c r="G19" s="58"/>
      <c r="H19" s="58"/>
    </row>
    <row r="20" spans="1:8" x14ac:dyDescent="0.25">
      <c r="A20" s="56"/>
      <c r="B20" s="56"/>
      <c r="C20" s="60"/>
      <c r="D20" s="58"/>
      <c r="E20" s="58"/>
      <c r="F20" s="58"/>
      <c r="G20" s="58"/>
      <c r="H20" s="58"/>
    </row>
    <row r="21" spans="1:8" x14ac:dyDescent="0.25">
      <c r="A21" s="56"/>
      <c r="B21" s="56"/>
      <c r="C21" s="60"/>
      <c r="D21" s="58"/>
      <c r="E21" s="58"/>
      <c r="F21" s="61"/>
      <c r="G21" s="61"/>
      <c r="H21" s="61"/>
    </row>
    <row r="22" spans="1:8" x14ac:dyDescent="0.25">
      <c r="A22" s="56"/>
      <c r="B22" s="56"/>
      <c r="C22" s="60"/>
      <c r="D22" s="58"/>
      <c r="E22" s="58"/>
      <c r="F22" s="58"/>
      <c r="G22" s="58"/>
      <c r="H22" s="58"/>
    </row>
    <row r="23" spans="1:8" x14ac:dyDescent="0.25">
      <c r="A23" s="56"/>
      <c r="B23" s="56"/>
      <c r="C23" s="60"/>
      <c r="D23" s="58"/>
      <c r="E23" s="58"/>
      <c r="F23" s="58"/>
      <c r="G23" s="58"/>
      <c r="H23" s="58"/>
    </row>
    <row r="24" spans="1:8" x14ac:dyDescent="0.25">
      <c r="A24" s="56"/>
      <c r="B24" s="56"/>
      <c r="C24" s="60"/>
      <c r="D24" s="62"/>
      <c r="E24" s="62"/>
      <c r="F24" s="58"/>
      <c r="G24" s="58"/>
      <c r="H24" s="58"/>
    </row>
    <row r="25" spans="1:8" x14ac:dyDescent="0.25">
      <c r="A25" s="56"/>
      <c r="B25" s="56"/>
      <c r="C25" s="60"/>
      <c r="D25" s="62"/>
      <c r="E25" s="62"/>
      <c r="F25" s="58"/>
      <c r="G25" s="58"/>
      <c r="H25" s="58"/>
    </row>
    <row r="26" spans="1:8" x14ac:dyDescent="0.25">
      <c r="A26" s="56"/>
      <c r="B26" s="56"/>
      <c r="C26" s="60"/>
      <c r="D26" s="62"/>
      <c r="E26" s="62"/>
      <c r="F26" s="58"/>
      <c r="G26" s="58"/>
      <c r="H26" s="58"/>
    </row>
    <row r="27" spans="1:8" x14ac:dyDescent="0.25">
      <c r="A27" s="56"/>
      <c r="B27" s="56"/>
      <c r="C27" s="60"/>
      <c r="D27" s="62"/>
      <c r="E27" s="62"/>
      <c r="F27" s="58"/>
      <c r="G27" s="58"/>
      <c r="H27" s="58"/>
    </row>
    <row r="28" spans="1:8" x14ac:dyDescent="0.25">
      <c r="A28" s="56"/>
      <c r="B28" s="56"/>
      <c r="C28" s="60"/>
      <c r="D28" s="62"/>
      <c r="E28" s="62"/>
      <c r="F28" s="58"/>
      <c r="G28" s="58"/>
      <c r="H28" s="58"/>
    </row>
    <row r="29" spans="1:8" x14ac:dyDescent="0.25">
      <c r="A29" s="56"/>
      <c r="B29" s="56"/>
      <c r="C29" s="60"/>
      <c r="D29" s="62"/>
      <c r="E29" s="62"/>
      <c r="F29" s="58"/>
      <c r="G29" s="58"/>
      <c r="H29" s="58"/>
    </row>
    <row r="30" spans="1:8" x14ac:dyDescent="0.25">
      <c r="A30" s="56"/>
      <c r="B30" s="56"/>
      <c r="C30" s="60"/>
      <c r="D30" s="58"/>
      <c r="E30" s="58"/>
      <c r="F30" s="58"/>
      <c r="G30" s="58"/>
      <c r="H30" s="58"/>
    </row>
    <row r="31" spans="1:8" x14ac:dyDescent="0.25">
      <c r="A31" s="56"/>
      <c r="B31" s="56"/>
      <c r="C31" s="60"/>
      <c r="D31" s="58"/>
      <c r="E31" s="58"/>
      <c r="F31" s="58"/>
      <c r="G31" s="58"/>
      <c r="H31" s="58"/>
    </row>
    <row r="32" spans="1:8" x14ac:dyDescent="0.25">
      <c r="A32" s="56"/>
      <c r="B32" s="56"/>
      <c r="C32" s="60"/>
      <c r="D32" s="58"/>
      <c r="E32" s="58"/>
      <c r="F32" s="58"/>
      <c r="G32" s="58"/>
      <c r="H32" s="58"/>
    </row>
    <row r="33" spans="1:8" x14ac:dyDescent="0.25">
      <c r="A33" s="56"/>
      <c r="B33" s="56"/>
      <c r="C33" s="60"/>
      <c r="D33" s="58"/>
      <c r="E33" s="58"/>
      <c r="F33" s="58"/>
      <c r="G33" s="58"/>
      <c r="H33" s="58"/>
    </row>
    <row r="34" spans="1:8" x14ac:dyDescent="0.25">
      <c r="A34" s="56"/>
      <c r="B34" s="56"/>
      <c r="C34" s="60"/>
      <c r="D34" s="58"/>
      <c r="E34" s="58"/>
      <c r="F34" s="58"/>
      <c r="G34" s="58"/>
      <c r="H34" s="58"/>
    </row>
    <row r="35" spans="1:8" x14ac:dyDescent="0.25">
      <c r="A35" s="56"/>
      <c r="B35" s="56"/>
      <c r="C35" s="60"/>
      <c r="D35" s="58"/>
      <c r="E35" s="58"/>
      <c r="F35" s="58"/>
      <c r="G35" s="58"/>
      <c r="H35" s="58"/>
    </row>
    <row r="36" spans="1:8" x14ac:dyDescent="0.25">
      <c r="A36" s="56"/>
      <c r="B36" s="56"/>
      <c r="C36" s="60"/>
      <c r="D36" s="58"/>
      <c r="E36" s="58"/>
      <c r="F36" s="58"/>
      <c r="G36" s="58"/>
      <c r="H36" s="58"/>
    </row>
    <row r="37" spans="1:8" x14ac:dyDescent="0.25">
      <c r="A37" s="56"/>
      <c r="B37" s="56"/>
      <c r="C37" s="60"/>
      <c r="D37" s="58"/>
      <c r="E37" s="58"/>
      <c r="F37" s="58"/>
      <c r="G37" s="58"/>
      <c r="H37" s="58"/>
    </row>
    <row r="38" spans="1:8" x14ac:dyDescent="0.25">
      <c r="A38" s="56"/>
      <c r="B38" s="56"/>
      <c r="C38" s="60"/>
      <c r="D38" s="58"/>
      <c r="E38" s="58"/>
      <c r="F38" s="58"/>
      <c r="G38" s="58"/>
      <c r="H38" s="58"/>
    </row>
    <row r="39" spans="1:8" x14ac:dyDescent="0.25">
      <c r="A39" s="56"/>
      <c r="B39" s="56"/>
      <c r="C39" s="60"/>
      <c r="D39" s="58"/>
      <c r="E39" s="58"/>
      <c r="F39" s="58"/>
      <c r="G39" s="58"/>
      <c r="H39" s="58"/>
    </row>
    <row r="40" spans="1:8" x14ac:dyDescent="0.25">
      <c r="A40" s="56"/>
      <c r="B40" s="56"/>
      <c r="C40" s="60"/>
      <c r="D40" s="63"/>
      <c r="E40" s="63"/>
      <c r="F40" s="58"/>
      <c r="G40" s="58"/>
      <c r="H40" s="58"/>
    </row>
    <row r="41" spans="1:8" x14ac:dyDescent="0.25">
      <c r="A41" s="56"/>
      <c r="B41" s="56"/>
      <c r="C41" s="60"/>
      <c r="D41" s="63"/>
      <c r="E41" s="63"/>
      <c r="F41" s="58"/>
      <c r="G41" s="58"/>
      <c r="H41" s="58"/>
    </row>
    <row r="42" spans="1:8" x14ac:dyDescent="0.25">
      <c r="A42" s="56"/>
      <c r="B42" s="56"/>
      <c r="C42" s="60"/>
      <c r="D42" s="58"/>
      <c r="E42" s="58"/>
      <c r="F42" s="61"/>
      <c r="G42" s="61"/>
      <c r="H42" s="61"/>
    </row>
    <row r="43" spans="1:8" x14ac:dyDescent="0.25">
      <c r="A43" s="56"/>
      <c r="B43" s="56"/>
      <c r="C43" s="60"/>
      <c r="D43" s="58"/>
      <c r="E43" s="58"/>
      <c r="F43" s="58"/>
      <c r="G43" s="58"/>
      <c r="H43" s="58"/>
    </row>
    <row r="44" spans="1:8" x14ac:dyDescent="0.25">
      <c r="A44" s="56"/>
      <c r="B44" s="56"/>
      <c r="C44" s="60"/>
      <c r="D44" s="58"/>
      <c r="E44" s="58"/>
      <c r="F44" s="58"/>
      <c r="G44" s="58"/>
      <c r="H44" s="58"/>
    </row>
    <row r="45" spans="1:8" x14ac:dyDescent="0.25">
      <c r="A45" s="56"/>
      <c r="B45" s="56"/>
      <c r="C45" s="60"/>
      <c r="D45" s="58"/>
      <c r="E45" s="58"/>
      <c r="F45" s="58"/>
      <c r="G45" s="58"/>
      <c r="H45" s="58"/>
    </row>
    <row r="46" spans="1:8" x14ac:dyDescent="0.25">
      <c r="A46" s="56"/>
      <c r="B46" s="56"/>
      <c r="C46" s="60"/>
      <c r="D46" s="58"/>
      <c r="E46" s="58"/>
      <c r="F46" s="58"/>
      <c r="G46" s="58"/>
      <c r="H46" s="58"/>
    </row>
    <row r="47" spans="1:8" x14ac:dyDescent="0.25">
      <c r="A47" s="56"/>
      <c r="B47" s="56"/>
      <c r="C47" s="60"/>
      <c r="D47" s="58"/>
      <c r="E47" s="58"/>
      <c r="F47" s="58"/>
      <c r="G47" s="58"/>
      <c r="H47" s="58"/>
    </row>
    <row r="48" spans="1:8" x14ac:dyDescent="0.25">
      <c r="A48" s="56"/>
      <c r="B48" s="56"/>
      <c r="C48" s="60"/>
      <c r="D48" s="58"/>
      <c r="E48" s="58"/>
      <c r="F48" s="58"/>
      <c r="G48" s="58"/>
      <c r="H48" s="58"/>
    </row>
    <row r="49" spans="1:8" x14ac:dyDescent="0.25">
      <c r="A49" s="56"/>
      <c r="B49" s="56"/>
      <c r="C49" s="60"/>
      <c r="D49" s="58"/>
      <c r="E49" s="58"/>
      <c r="F49" s="58"/>
      <c r="G49" s="58"/>
      <c r="H49" s="58"/>
    </row>
    <row r="50" spans="1:8" x14ac:dyDescent="0.25">
      <c r="A50" s="56"/>
      <c r="B50" s="56"/>
      <c r="C50" s="60"/>
      <c r="D50" s="58"/>
      <c r="E50" s="58"/>
      <c r="F50" s="58"/>
      <c r="G50" s="58"/>
      <c r="H50" s="58"/>
    </row>
    <row r="51" spans="1:8" x14ac:dyDescent="0.25">
      <c r="A51" s="56"/>
      <c r="B51" s="56"/>
      <c r="C51" s="60"/>
      <c r="D51" s="58"/>
      <c r="E51" s="58"/>
      <c r="F51" s="58"/>
      <c r="G51" s="58"/>
      <c r="H51" s="58"/>
    </row>
    <row r="52" spans="1:8" x14ac:dyDescent="0.25">
      <c r="A52" s="56"/>
      <c r="B52" s="56"/>
      <c r="C52" s="60"/>
      <c r="D52" s="58"/>
      <c r="E52" s="58"/>
      <c r="F52" s="58"/>
      <c r="G52" s="58"/>
      <c r="H52" s="58"/>
    </row>
    <row r="53" spans="1:8" x14ac:dyDescent="0.25">
      <c r="A53" s="56"/>
      <c r="B53" s="56"/>
      <c r="C53" s="60"/>
      <c r="D53" s="58"/>
      <c r="E53" s="58"/>
      <c r="F53" s="58"/>
      <c r="G53" s="58"/>
      <c r="H53" s="58"/>
    </row>
    <row r="54" spans="1:8" x14ac:dyDescent="0.25">
      <c r="A54" s="56"/>
      <c r="B54" s="56"/>
      <c r="C54" s="60"/>
      <c r="D54" s="58"/>
      <c r="E54" s="58"/>
      <c r="F54" s="58"/>
      <c r="G54" s="58"/>
      <c r="H54" s="58"/>
    </row>
    <row r="55" spans="1:8" x14ac:dyDescent="0.25">
      <c r="A55" s="56"/>
      <c r="B55" s="56"/>
      <c r="C55" s="60"/>
      <c r="D55" s="58"/>
      <c r="E55" s="58"/>
      <c r="F55" s="58"/>
      <c r="G55" s="58"/>
      <c r="H55" s="58"/>
    </row>
    <row r="56" spans="1:8" x14ac:dyDescent="0.25">
      <c r="A56" s="56"/>
      <c r="B56" s="56"/>
      <c r="C56" s="60"/>
      <c r="D56" s="58"/>
      <c r="E56" s="58"/>
      <c r="F56" s="58"/>
      <c r="G56" s="58"/>
      <c r="H56" s="58"/>
    </row>
    <row r="57" spans="1:8" x14ac:dyDescent="0.25">
      <c r="A57" s="56"/>
      <c r="B57" s="56"/>
      <c r="C57" s="60"/>
      <c r="D57" s="58"/>
      <c r="E57" s="58"/>
      <c r="F57" s="61"/>
      <c r="G57" s="61"/>
      <c r="H57" s="61"/>
    </row>
    <row r="58" spans="1:8" x14ac:dyDescent="0.25">
      <c r="A58" s="56"/>
      <c r="B58" s="56"/>
      <c r="C58" s="60"/>
      <c r="D58" s="58"/>
      <c r="E58" s="58"/>
      <c r="F58" s="61"/>
      <c r="G58" s="61"/>
      <c r="H58" s="61"/>
    </row>
    <row r="59" spans="1:8" x14ac:dyDescent="0.25">
      <c r="A59" s="56"/>
      <c r="B59" s="56"/>
      <c r="C59" s="60"/>
      <c r="D59" s="58"/>
      <c r="E59" s="58"/>
      <c r="F59" s="58"/>
      <c r="G59" s="58"/>
      <c r="H59" s="58"/>
    </row>
    <row r="60" spans="1:8" x14ac:dyDescent="0.25">
      <c r="A60" s="56"/>
      <c r="B60" s="56"/>
      <c r="C60" s="60"/>
      <c r="D60" s="58"/>
      <c r="E60" s="58"/>
      <c r="F60" s="58"/>
      <c r="G60" s="58"/>
      <c r="H60" s="58"/>
    </row>
    <row r="61" spans="1:8" x14ac:dyDescent="0.25">
      <c r="A61" s="56"/>
      <c r="B61" s="56"/>
      <c r="C61" s="60"/>
      <c r="D61" s="58"/>
      <c r="E61" s="58"/>
      <c r="F61" s="58"/>
      <c r="G61" s="58"/>
      <c r="H61" s="58"/>
    </row>
    <row r="62" spans="1:8" x14ac:dyDescent="0.25">
      <c r="A62" s="56"/>
      <c r="B62" s="56"/>
      <c r="C62" s="60"/>
      <c r="D62" s="58"/>
      <c r="E62" s="58"/>
      <c r="F62" s="58"/>
      <c r="G62" s="58"/>
      <c r="H62" s="58"/>
    </row>
    <row r="63" spans="1:8" x14ac:dyDescent="0.25">
      <c r="A63" s="56"/>
      <c r="B63" s="56"/>
      <c r="C63" s="60"/>
      <c r="D63" s="58"/>
      <c r="E63" s="58"/>
      <c r="F63" s="58"/>
      <c r="G63" s="58"/>
      <c r="H63" s="58"/>
    </row>
    <row r="64" spans="1:8" x14ac:dyDescent="0.25">
      <c r="A64" s="56"/>
      <c r="B64" s="56"/>
      <c r="C64" s="60"/>
      <c r="D64" s="58"/>
      <c r="E64" s="58"/>
      <c r="F64" s="58"/>
      <c r="G64" s="58"/>
      <c r="H64" s="58"/>
    </row>
    <row r="65" spans="1:8" x14ac:dyDescent="0.25">
      <c r="A65" s="56"/>
      <c r="B65" s="56"/>
      <c r="C65" s="60"/>
      <c r="D65" s="58"/>
      <c r="E65" s="58"/>
      <c r="F65" s="61"/>
      <c r="G65" s="61"/>
      <c r="H65" s="61"/>
    </row>
    <row r="66" spans="1:8" x14ac:dyDescent="0.25">
      <c r="A66" s="56"/>
      <c r="B66" s="56"/>
      <c r="C66" s="60"/>
      <c r="D66" s="58"/>
      <c r="E66" s="58"/>
      <c r="F66" s="58"/>
      <c r="G66" s="58"/>
      <c r="H66" s="58"/>
    </row>
    <row r="67" spans="1:8" x14ac:dyDescent="0.25">
      <c r="A67" s="56"/>
      <c r="B67" s="56"/>
      <c r="C67" s="60"/>
      <c r="D67" s="58"/>
      <c r="E67" s="58"/>
      <c r="F67" s="58"/>
      <c r="G67" s="58"/>
      <c r="H67" s="58"/>
    </row>
    <row r="68" spans="1:8" x14ac:dyDescent="0.25">
      <c r="A68" s="56"/>
      <c r="B68" s="56"/>
      <c r="C68" s="60"/>
      <c r="D68" s="58"/>
      <c r="E68" s="58"/>
      <c r="F68" s="58"/>
      <c r="G68" s="58"/>
      <c r="H68" s="58"/>
    </row>
    <row r="69" spans="1:8" x14ac:dyDescent="0.25">
      <c r="A69" s="56"/>
      <c r="B69" s="56"/>
      <c r="C69" s="60"/>
      <c r="D69" s="58"/>
      <c r="E69" s="58"/>
      <c r="F69" s="58"/>
      <c r="G69" s="58"/>
      <c r="H69" s="58"/>
    </row>
    <row r="70" spans="1:8" x14ac:dyDescent="0.25">
      <c r="A70" s="56"/>
      <c r="B70" s="56"/>
      <c r="C70" s="60"/>
      <c r="D70" s="58"/>
      <c r="E70" s="58"/>
      <c r="F70" s="58"/>
      <c r="G70" s="58"/>
      <c r="H70" s="58"/>
    </row>
    <row r="71" spans="1:8" x14ac:dyDescent="0.25">
      <c r="A71" s="56"/>
      <c r="B71" s="56"/>
      <c r="C71" s="60"/>
      <c r="D71" s="58"/>
      <c r="E71" s="58"/>
      <c r="F71" s="58"/>
      <c r="G71" s="58"/>
      <c r="H71" s="58"/>
    </row>
    <row r="72" spans="1:8" x14ac:dyDescent="0.25">
      <c r="A72" s="56"/>
      <c r="B72" s="56"/>
      <c r="C72" s="60"/>
      <c r="D72" s="58"/>
      <c r="E72" s="58"/>
      <c r="F72" s="58"/>
      <c r="G72" s="58"/>
      <c r="H72" s="58"/>
    </row>
    <row r="73" spans="1:8" x14ac:dyDescent="0.25">
      <c r="A73" s="56"/>
      <c r="B73" s="56"/>
      <c r="C73" s="60"/>
      <c r="D73" s="58"/>
      <c r="E73" s="58"/>
      <c r="F73" s="58"/>
      <c r="G73" s="58"/>
      <c r="H73" s="58"/>
    </row>
    <row r="74" spans="1:8" x14ac:dyDescent="0.25">
      <c r="A74" s="56"/>
      <c r="B74" s="56"/>
      <c r="C74" s="60"/>
      <c r="D74" s="58"/>
      <c r="E74" s="58"/>
      <c r="F74" s="58"/>
      <c r="G74" s="58"/>
      <c r="H74" s="58"/>
    </row>
    <row r="75" spans="1:8" x14ac:dyDescent="0.25">
      <c r="A75" s="56"/>
      <c r="B75" s="56"/>
      <c r="C75" s="60"/>
      <c r="D75" s="58"/>
      <c r="E75" s="58"/>
      <c r="F75" s="58"/>
      <c r="G75" s="58"/>
      <c r="H75" s="58"/>
    </row>
    <row r="76" spans="1:8" x14ac:dyDescent="0.25">
      <c r="A76" s="56"/>
      <c r="B76" s="56"/>
      <c r="C76" s="60"/>
      <c r="D76" s="58"/>
      <c r="E76" s="58"/>
      <c r="F76" s="58"/>
      <c r="G76" s="58"/>
      <c r="H76" s="58"/>
    </row>
    <row r="78" spans="1:8" ht="30.75" customHeight="1" x14ac:dyDescent="0.25"/>
    <row r="80" spans="1:8" ht="30" customHeight="1" x14ac:dyDescent="0.25"/>
  </sheetData>
  <mergeCells count="1">
    <mergeCell ref="A5:H5"/>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02EAB-6D08-4874-BC5C-42B81059BCF2}">
  <sheetPr>
    <tabColor theme="5"/>
  </sheetPr>
  <dimension ref="A1:P113"/>
  <sheetViews>
    <sheetView showWhiteSpace="0" topLeftCell="A61" zoomScale="90" zoomScaleNormal="90" zoomScaleSheetLayoutView="85" zoomScalePageLayoutView="70" workbookViewId="0">
      <selection activeCell="B81" sqref="B81"/>
    </sheetView>
  </sheetViews>
  <sheetFormatPr baseColWidth="10" defaultColWidth="11.42578125" defaultRowHeight="15" x14ac:dyDescent="0.25"/>
  <cols>
    <col min="1" max="1" width="12.28515625" customWidth="1"/>
    <col min="2" max="2" width="49.85546875" customWidth="1"/>
    <col min="3" max="4" width="16" customWidth="1"/>
    <col min="5" max="6" width="14.28515625" customWidth="1"/>
    <col min="7" max="7" width="34.28515625" customWidth="1"/>
    <col min="8" max="8" width="8.42578125" customWidth="1"/>
    <col min="10" max="10"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20.25" customHeight="1" thickTop="1" x14ac:dyDescent="0.25">
      <c r="A4" s="177" t="s">
        <v>537</v>
      </c>
      <c r="B4" s="178"/>
      <c r="C4" s="178"/>
      <c r="D4" s="175"/>
      <c r="E4" s="175"/>
      <c r="F4" s="176"/>
      <c r="G4" s="175"/>
      <c r="H4" s="4"/>
      <c r="N4" s="4"/>
      <c r="O4" s="4"/>
      <c r="P4" s="4"/>
    </row>
    <row r="5" spans="1:16" ht="15" customHeight="1" x14ac:dyDescent="0.25">
      <c r="A5" s="182" t="s">
        <v>538</v>
      </c>
      <c r="B5" s="182"/>
      <c r="C5" s="182"/>
      <c r="D5" s="182"/>
    </row>
    <row r="7" spans="1:16" s="34" customFormat="1" ht="78.75" customHeight="1" x14ac:dyDescent="0.25">
      <c r="A7" s="17" t="s">
        <v>2</v>
      </c>
      <c r="B7" s="18" t="s">
        <v>306</v>
      </c>
      <c r="C7" s="17" t="s">
        <v>307</v>
      </c>
      <c r="D7" s="17" t="s">
        <v>308</v>
      </c>
      <c r="E7"/>
      <c r="F7"/>
    </row>
    <row r="8" spans="1:16" x14ac:dyDescent="0.25">
      <c r="A8" s="64" t="s">
        <v>309</v>
      </c>
      <c r="B8" s="68" t="s">
        <v>310</v>
      </c>
      <c r="C8" s="66">
        <v>12</v>
      </c>
      <c r="D8" s="66">
        <v>2</v>
      </c>
    </row>
    <row r="9" spans="1:16" x14ac:dyDescent="0.25">
      <c r="A9" s="64" t="s">
        <v>309</v>
      </c>
      <c r="B9" s="68" t="s">
        <v>311</v>
      </c>
      <c r="C9" s="66">
        <v>17</v>
      </c>
      <c r="D9" s="66">
        <v>3</v>
      </c>
    </row>
    <row r="10" spans="1:16" x14ac:dyDescent="0.25">
      <c r="A10" s="64" t="s">
        <v>309</v>
      </c>
      <c r="B10" s="68" t="s">
        <v>312</v>
      </c>
      <c r="C10" s="66">
        <v>7</v>
      </c>
      <c r="D10" s="66">
        <v>0</v>
      </c>
    </row>
    <row r="11" spans="1:16" x14ac:dyDescent="0.25">
      <c r="A11" s="64" t="s">
        <v>309</v>
      </c>
      <c r="B11" s="68" t="s">
        <v>313</v>
      </c>
      <c r="C11" s="66">
        <v>29</v>
      </c>
      <c r="D11" s="66">
        <v>1</v>
      </c>
    </row>
    <row r="12" spans="1:16" x14ac:dyDescent="0.25">
      <c r="A12" s="64" t="s">
        <v>309</v>
      </c>
      <c r="B12" s="68" t="s">
        <v>313</v>
      </c>
      <c r="C12" s="66">
        <v>21</v>
      </c>
      <c r="D12" s="66">
        <v>8</v>
      </c>
    </row>
    <row r="13" spans="1:16" x14ac:dyDescent="0.25">
      <c r="A13" s="64" t="s">
        <v>309</v>
      </c>
      <c r="B13" s="68" t="s">
        <v>314</v>
      </c>
      <c r="C13" s="66">
        <v>29</v>
      </c>
      <c r="D13" s="66">
        <v>8</v>
      </c>
    </row>
    <row r="14" spans="1:16" x14ac:dyDescent="0.25">
      <c r="A14" s="64" t="s">
        <v>309</v>
      </c>
      <c r="B14" s="68" t="s">
        <v>314</v>
      </c>
      <c r="C14" s="66">
        <v>15</v>
      </c>
      <c r="D14" s="66">
        <v>8</v>
      </c>
    </row>
    <row r="15" spans="1:16" x14ac:dyDescent="0.25">
      <c r="A15" s="64" t="s">
        <v>309</v>
      </c>
      <c r="B15" s="68" t="s">
        <v>315</v>
      </c>
      <c r="C15" s="66">
        <v>29</v>
      </c>
      <c r="D15" s="66">
        <v>8</v>
      </c>
    </row>
    <row r="16" spans="1:16" x14ac:dyDescent="0.25">
      <c r="A16" s="64" t="s">
        <v>309</v>
      </c>
      <c r="B16" s="68" t="s">
        <v>315</v>
      </c>
      <c r="C16" s="66">
        <v>20</v>
      </c>
      <c r="D16" s="66">
        <v>8</v>
      </c>
    </row>
    <row r="17" spans="1:4" x14ac:dyDescent="0.25">
      <c r="A17" s="64" t="s">
        <v>309</v>
      </c>
      <c r="B17" s="68" t="s">
        <v>316</v>
      </c>
      <c r="C17" s="66">
        <v>20</v>
      </c>
      <c r="D17" s="66">
        <v>7</v>
      </c>
    </row>
    <row r="18" spans="1:4" x14ac:dyDescent="0.25">
      <c r="A18" s="64" t="s">
        <v>309</v>
      </c>
      <c r="B18" s="68" t="s">
        <v>317</v>
      </c>
      <c r="C18" s="66">
        <v>21</v>
      </c>
      <c r="D18" s="66">
        <v>7</v>
      </c>
    </row>
    <row r="19" spans="1:4" x14ac:dyDescent="0.25">
      <c r="A19" s="64" t="s">
        <v>309</v>
      </c>
      <c r="B19" s="68" t="s">
        <v>318</v>
      </c>
      <c r="C19" s="66">
        <v>11</v>
      </c>
      <c r="D19" s="66">
        <v>1</v>
      </c>
    </row>
    <row r="20" spans="1:4" x14ac:dyDescent="0.25">
      <c r="A20" s="64" t="s">
        <v>309</v>
      </c>
      <c r="B20" s="68" t="s">
        <v>319</v>
      </c>
      <c r="C20" s="66">
        <v>13</v>
      </c>
      <c r="D20" s="66">
        <v>5</v>
      </c>
    </row>
    <row r="21" spans="1:4" x14ac:dyDescent="0.25">
      <c r="A21" s="64" t="s">
        <v>309</v>
      </c>
      <c r="B21" s="68" t="s">
        <v>320</v>
      </c>
      <c r="C21" s="66">
        <v>15</v>
      </c>
      <c r="D21" s="66">
        <v>10</v>
      </c>
    </row>
    <row r="22" spans="1:4" x14ac:dyDescent="0.25">
      <c r="A22" s="64" t="s">
        <v>309</v>
      </c>
      <c r="B22" s="68" t="s">
        <v>321</v>
      </c>
      <c r="C22" s="66">
        <v>7</v>
      </c>
      <c r="D22" s="66">
        <v>0</v>
      </c>
    </row>
    <row r="23" spans="1:4" x14ac:dyDescent="0.25">
      <c r="A23" s="64" t="s">
        <v>309</v>
      </c>
      <c r="B23" s="68" t="s">
        <v>322</v>
      </c>
      <c r="C23" s="66">
        <v>25</v>
      </c>
      <c r="D23" s="66">
        <v>7</v>
      </c>
    </row>
    <row r="24" spans="1:4" x14ac:dyDescent="0.25">
      <c r="A24" s="64" t="s">
        <v>309</v>
      </c>
      <c r="B24" s="68" t="s">
        <v>323</v>
      </c>
      <c r="C24" s="66">
        <v>21</v>
      </c>
      <c r="D24" s="66">
        <v>5</v>
      </c>
    </row>
    <row r="25" spans="1:4" x14ac:dyDescent="0.25">
      <c r="A25" s="64" t="s">
        <v>309</v>
      </c>
      <c r="B25" s="68" t="s">
        <v>324</v>
      </c>
      <c r="C25" s="66">
        <v>30</v>
      </c>
      <c r="D25" s="66">
        <v>10</v>
      </c>
    </row>
    <row r="26" spans="1:4" x14ac:dyDescent="0.25">
      <c r="A26" s="64" t="s">
        <v>309</v>
      </c>
      <c r="B26" s="68" t="s">
        <v>324</v>
      </c>
      <c r="C26" s="66">
        <v>23</v>
      </c>
      <c r="D26" s="66">
        <v>20</v>
      </c>
    </row>
    <row r="27" spans="1:4" x14ac:dyDescent="0.25">
      <c r="A27" s="64" t="s">
        <v>309</v>
      </c>
      <c r="B27" s="68" t="s">
        <v>325</v>
      </c>
      <c r="C27" s="66">
        <v>10</v>
      </c>
      <c r="D27" s="66">
        <v>0</v>
      </c>
    </row>
    <row r="28" spans="1:4" x14ac:dyDescent="0.25">
      <c r="A28" s="64" t="s">
        <v>309</v>
      </c>
      <c r="B28" s="68" t="s">
        <v>326</v>
      </c>
      <c r="C28" s="66">
        <v>7</v>
      </c>
      <c r="D28" s="66">
        <v>0</v>
      </c>
    </row>
    <row r="29" spans="1:4" x14ac:dyDescent="0.25">
      <c r="A29" s="64" t="s">
        <v>309</v>
      </c>
      <c r="B29" s="68" t="s">
        <v>327</v>
      </c>
      <c r="C29" s="66">
        <v>19</v>
      </c>
      <c r="D29" s="66">
        <v>8</v>
      </c>
    </row>
    <row r="30" spans="1:4" x14ac:dyDescent="0.25">
      <c r="A30" s="64" t="s">
        <v>309</v>
      </c>
      <c r="B30" s="68" t="s">
        <v>328</v>
      </c>
      <c r="C30" s="66">
        <v>15</v>
      </c>
      <c r="D30" s="66">
        <v>6</v>
      </c>
    </row>
    <row r="31" spans="1:4" x14ac:dyDescent="0.25">
      <c r="A31" s="64" t="s">
        <v>309</v>
      </c>
      <c r="B31" s="68" t="s">
        <v>329</v>
      </c>
      <c r="C31" s="66">
        <v>11</v>
      </c>
      <c r="D31" s="66">
        <v>2</v>
      </c>
    </row>
    <row r="32" spans="1:4" x14ac:dyDescent="0.25">
      <c r="A32" s="64" t="s">
        <v>309</v>
      </c>
      <c r="B32" s="68" t="s">
        <v>330</v>
      </c>
      <c r="C32" s="66">
        <v>28</v>
      </c>
      <c r="D32" s="66">
        <v>2</v>
      </c>
    </row>
    <row r="33" spans="1:4" x14ac:dyDescent="0.25">
      <c r="A33" s="64" t="s">
        <v>309</v>
      </c>
      <c r="B33" s="68" t="s">
        <v>330</v>
      </c>
      <c r="C33" s="66">
        <v>19</v>
      </c>
      <c r="D33" s="66">
        <v>7</v>
      </c>
    </row>
    <row r="34" spans="1:4" x14ac:dyDescent="0.25">
      <c r="A34" s="64" t="s">
        <v>309</v>
      </c>
      <c r="B34" s="68" t="s">
        <v>331</v>
      </c>
      <c r="C34" s="66">
        <v>13</v>
      </c>
      <c r="D34" s="66">
        <v>4</v>
      </c>
    </row>
    <row r="35" spans="1:4" x14ac:dyDescent="0.25">
      <c r="A35" s="64" t="s">
        <v>309</v>
      </c>
      <c r="B35" s="68" t="s">
        <v>332</v>
      </c>
      <c r="C35" s="66">
        <v>10</v>
      </c>
      <c r="D35" s="66">
        <v>3</v>
      </c>
    </row>
    <row r="36" spans="1:4" x14ac:dyDescent="0.25">
      <c r="A36" s="64" t="s">
        <v>309</v>
      </c>
      <c r="B36" s="68" t="s">
        <v>333</v>
      </c>
      <c r="C36" s="66">
        <v>10</v>
      </c>
      <c r="D36" s="66">
        <v>2</v>
      </c>
    </row>
    <row r="37" spans="1:4" x14ac:dyDescent="0.25">
      <c r="A37" s="64" t="s">
        <v>309</v>
      </c>
      <c r="B37" s="68" t="s">
        <v>333</v>
      </c>
      <c r="C37" s="66">
        <v>10</v>
      </c>
      <c r="D37" s="66">
        <v>0</v>
      </c>
    </row>
    <row r="38" spans="1:4" x14ac:dyDescent="0.25">
      <c r="A38" s="64" t="s">
        <v>309</v>
      </c>
      <c r="B38" s="68" t="s">
        <v>334</v>
      </c>
      <c r="C38" s="66">
        <v>17</v>
      </c>
      <c r="D38" s="66">
        <v>0</v>
      </c>
    </row>
    <row r="39" spans="1:4" x14ac:dyDescent="0.25">
      <c r="A39" s="64" t="s">
        <v>309</v>
      </c>
      <c r="B39" s="68" t="s">
        <v>334</v>
      </c>
      <c r="C39" s="66">
        <v>17</v>
      </c>
      <c r="D39" s="66">
        <v>5</v>
      </c>
    </row>
    <row r="40" spans="1:4" x14ac:dyDescent="0.25">
      <c r="A40" s="64" t="s">
        <v>309</v>
      </c>
      <c r="B40" s="68" t="s">
        <v>335</v>
      </c>
      <c r="C40" s="66">
        <v>20</v>
      </c>
      <c r="D40" s="66">
        <v>6</v>
      </c>
    </row>
    <row r="41" spans="1:4" x14ac:dyDescent="0.25">
      <c r="A41" s="64" t="s">
        <v>309</v>
      </c>
      <c r="B41" s="68" t="s">
        <v>336</v>
      </c>
      <c r="C41" s="66">
        <v>19</v>
      </c>
      <c r="D41" s="66">
        <v>3</v>
      </c>
    </row>
    <row r="42" spans="1:4" x14ac:dyDescent="0.25">
      <c r="A42" s="64" t="s">
        <v>309</v>
      </c>
      <c r="B42" s="68" t="s">
        <v>337</v>
      </c>
      <c r="C42" s="66">
        <v>14</v>
      </c>
      <c r="D42" s="66">
        <v>2</v>
      </c>
    </row>
    <row r="43" spans="1:4" x14ac:dyDescent="0.25">
      <c r="A43" s="156" t="s">
        <v>309</v>
      </c>
      <c r="B43" s="157" t="s">
        <v>310</v>
      </c>
      <c r="C43" s="158">
        <v>12</v>
      </c>
      <c r="D43" s="158">
        <v>2</v>
      </c>
    </row>
    <row r="44" spans="1:4" x14ac:dyDescent="0.25">
      <c r="A44" s="156" t="s">
        <v>309</v>
      </c>
      <c r="B44" s="157" t="s">
        <v>311</v>
      </c>
      <c r="C44" s="158">
        <v>17</v>
      </c>
      <c r="D44" s="158">
        <v>3</v>
      </c>
    </row>
    <row r="45" spans="1:4" x14ac:dyDescent="0.25">
      <c r="A45" s="156" t="s">
        <v>309</v>
      </c>
      <c r="B45" s="157" t="s">
        <v>312</v>
      </c>
      <c r="C45" s="158">
        <v>7</v>
      </c>
      <c r="D45" s="158">
        <v>0</v>
      </c>
    </row>
    <row r="46" spans="1:4" x14ac:dyDescent="0.25">
      <c r="A46" s="156" t="s">
        <v>309</v>
      </c>
      <c r="B46" s="157" t="s">
        <v>313</v>
      </c>
      <c r="C46" s="158">
        <v>29</v>
      </c>
      <c r="D46" s="158">
        <v>1</v>
      </c>
    </row>
    <row r="47" spans="1:4" x14ac:dyDescent="0.25">
      <c r="A47" s="156" t="s">
        <v>309</v>
      </c>
      <c r="B47" s="157" t="s">
        <v>313</v>
      </c>
      <c r="C47" s="158">
        <v>21</v>
      </c>
      <c r="D47" s="158">
        <v>8</v>
      </c>
    </row>
    <row r="48" spans="1:4" x14ac:dyDescent="0.25">
      <c r="A48" s="156" t="s">
        <v>309</v>
      </c>
      <c r="B48" s="157" t="s">
        <v>314</v>
      </c>
      <c r="C48" s="158">
        <v>29</v>
      </c>
      <c r="D48" s="158">
        <v>8</v>
      </c>
    </row>
    <row r="49" spans="1:4" x14ac:dyDescent="0.25">
      <c r="A49" s="156" t="s">
        <v>309</v>
      </c>
      <c r="B49" s="157" t="s">
        <v>314</v>
      </c>
      <c r="C49" s="158">
        <v>15</v>
      </c>
      <c r="D49" s="158">
        <v>10</v>
      </c>
    </row>
    <row r="50" spans="1:4" x14ac:dyDescent="0.25">
      <c r="A50" s="156" t="s">
        <v>309</v>
      </c>
      <c r="B50" s="157" t="s">
        <v>315</v>
      </c>
      <c r="C50" s="158">
        <v>29</v>
      </c>
      <c r="D50" s="158">
        <v>8</v>
      </c>
    </row>
    <row r="51" spans="1:4" x14ac:dyDescent="0.25">
      <c r="A51" s="156" t="s">
        <v>309</v>
      </c>
      <c r="B51" s="157" t="s">
        <v>315</v>
      </c>
      <c r="C51" s="158">
        <v>20</v>
      </c>
      <c r="D51" s="158">
        <v>12</v>
      </c>
    </row>
    <row r="52" spans="1:4" x14ac:dyDescent="0.25">
      <c r="A52" s="156" t="s">
        <v>309</v>
      </c>
      <c r="B52" s="157" t="s">
        <v>316</v>
      </c>
      <c r="C52" s="158">
        <v>20</v>
      </c>
      <c r="D52" s="158">
        <v>7</v>
      </c>
    </row>
    <row r="53" spans="1:4" x14ac:dyDescent="0.25">
      <c r="A53" s="156" t="s">
        <v>309</v>
      </c>
      <c r="B53" s="157" t="s">
        <v>317</v>
      </c>
      <c r="C53" s="158">
        <v>21</v>
      </c>
      <c r="D53" s="158">
        <v>8</v>
      </c>
    </row>
    <row r="54" spans="1:4" x14ac:dyDescent="0.25">
      <c r="A54" s="156" t="s">
        <v>309</v>
      </c>
      <c r="B54" s="157" t="s">
        <v>318</v>
      </c>
      <c r="C54" s="158">
        <v>11</v>
      </c>
      <c r="D54" s="158">
        <v>5</v>
      </c>
    </row>
    <row r="55" spans="1:4" x14ac:dyDescent="0.25">
      <c r="A55" s="156" t="s">
        <v>309</v>
      </c>
      <c r="B55" s="157" t="s">
        <v>319</v>
      </c>
      <c r="C55" s="158">
        <v>13</v>
      </c>
      <c r="D55" s="158">
        <v>5</v>
      </c>
    </row>
    <row r="56" spans="1:4" x14ac:dyDescent="0.25">
      <c r="A56" s="156" t="s">
        <v>309</v>
      </c>
      <c r="B56" s="157" t="s">
        <v>320</v>
      </c>
      <c r="C56" s="158">
        <v>15</v>
      </c>
      <c r="D56" s="158">
        <v>12</v>
      </c>
    </row>
    <row r="57" spans="1:4" x14ac:dyDescent="0.25">
      <c r="A57" s="156" t="s">
        <v>309</v>
      </c>
      <c r="B57" s="157" t="s">
        <v>321</v>
      </c>
      <c r="C57" s="158">
        <v>7</v>
      </c>
      <c r="D57" s="158">
        <v>0</v>
      </c>
    </row>
    <row r="58" spans="1:4" x14ac:dyDescent="0.25">
      <c r="A58" s="156" t="s">
        <v>309</v>
      </c>
      <c r="B58" s="157" t="s">
        <v>322</v>
      </c>
      <c r="C58" s="158">
        <v>25</v>
      </c>
      <c r="D58" s="160">
        <v>7</v>
      </c>
    </row>
    <row r="59" spans="1:4" x14ac:dyDescent="0.25">
      <c r="A59" s="156" t="s">
        <v>309</v>
      </c>
      <c r="B59" s="157" t="s">
        <v>323</v>
      </c>
      <c r="C59" s="158">
        <v>21</v>
      </c>
      <c r="D59" s="160">
        <v>5</v>
      </c>
    </row>
    <row r="60" spans="1:4" x14ac:dyDescent="0.25">
      <c r="A60" s="156" t="s">
        <v>309</v>
      </c>
      <c r="B60" s="157" t="s">
        <v>324</v>
      </c>
      <c r="C60" s="158">
        <v>30</v>
      </c>
      <c r="D60" s="160">
        <v>17</v>
      </c>
    </row>
    <row r="61" spans="1:4" x14ac:dyDescent="0.25">
      <c r="A61" s="156" t="s">
        <v>309</v>
      </c>
      <c r="B61" s="157" t="s">
        <v>324</v>
      </c>
      <c r="C61" s="158">
        <v>23</v>
      </c>
      <c r="D61" s="160">
        <v>20</v>
      </c>
    </row>
    <row r="62" spans="1:4" x14ac:dyDescent="0.25">
      <c r="A62" s="156" t="s">
        <v>309</v>
      </c>
      <c r="B62" s="157" t="s">
        <v>325</v>
      </c>
      <c r="C62" s="158">
        <v>10</v>
      </c>
      <c r="D62" s="160">
        <v>0</v>
      </c>
    </row>
    <row r="63" spans="1:4" x14ac:dyDescent="0.25">
      <c r="A63" s="156" t="s">
        <v>309</v>
      </c>
      <c r="B63" s="157" t="s">
        <v>326</v>
      </c>
      <c r="C63" s="158">
        <v>7</v>
      </c>
      <c r="D63" s="160">
        <v>0</v>
      </c>
    </row>
    <row r="64" spans="1:4" x14ac:dyDescent="0.25">
      <c r="A64" s="156" t="s">
        <v>309</v>
      </c>
      <c r="B64" s="157" t="s">
        <v>327</v>
      </c>
      <c r="C64" s="158">
        <v>19</v>
      </c>
      <c r="D64" s="158">
        <v>6</v>
      </c>
    </row>
    <row r="65" spans="1:4" x14ac:dyDescent="0.25">
      <c r="A65" s="156" t="s">
        <v>309</v>
      </c>
      <c r="B65" s="157" t="s">
        <v>328</v>
      </c>
      <c r="C65" s="158">
        <v>29</v>
      </c>
      <c r="D65" s="158">
        <v>4</v>
      </c>
    </row>
    <row r="66" spans="1:4" x14ac:dyDescent="0.25">
      <c r="A66" s="156" t="s">
        <v>309</v>
      </c>
      <c r="B66" s="157" t="s">
        <v>328</v>
      </c>
      <c r="C66" s="158">
        <v>15</v>
      </c>
      <c r="D66" s="158">
        <v>7</v>
      </c>
    </row>
    <row r="67" spans="1:4" x14ac:dyDescent="0.25">
      <c r="A67" s="156" t="s">
        <v>309</v>
      </c>
      <c r="B67" s="157" t="s">
        <v>329</v>
      </c>
      <c r="C67" s="158">
        <v>11</v>
      </c>
      <c r="D67" s="158">
        <v>2</v>
      </c>
    </row>
    <row r="68" spans="1:4" x14ac:dyDescent="0.25">
      <c r="A68" s="156" t="s">
        <v>309</v>
      </c>
      <c r="B68" s="157" t="s">
        <v>330</v>
      </c>
      <c r="C68" s="158">
        <v>28</v>
      </c>
      <c r="D68" s="158">
        <v>3</v>
      </c>
    </row>
    <row r="69" spans="1:4" x14ac:dyDescent="0.25">
      <c r="A69" s="156" t="s">
        <v>309</v>
      </c>
      <c r="B69" s="157" t="s">
        <v>330</v>
      </c>
      <c r="C69" s="158">
        <v>19</v>
      </c>
      <c r="D69" s="158">
        <v>8</v>
      </c>
    </row>
    <row r="70" spans="1:4" x14ac:dyDescent="0.25">
      <c r="A70" s="156" t="s">
        <v>309</v>
      </c>
      <c r="B70" s="157" t="s">
        <v>331</v>
      </c>
      <c r="C70" s="158">
        <v>13</v>
      </c>
      <c r="D70" s="158">
        <v>4</v>
      </c>
    </row>
    <row r="71" spans="1:4" x14ac:dyDescent="0.25">
      <c r="A71" s="156" t="s">
        <v>309</v>
      </c>
      <c r="B71" s="157" t="s">
        <v>332</v>
      </c>
      <c r="C71" s="158">
        <v>10</v>
      </c>
      <c r="D71" s="158">
        <v>3</v>
      </c>
    </row>
    <row r="72" spans="1:4" x14ac:dyDescent="0.25">
      <c r="A72" s="156" t="s">
        <v>309</v>
      </c>
      <c r="B72" s="157" t="s">
        <v>333</v>
      </c>
      <c r="C72" s="158">
        <v>10</v>
      </c>
      <c r="D72" s="158">
        <v>2</v>
      </c>
    </row>
    <row r="73" spans="1:4" x14ac:dyDescent="0.25">
      <c r="A73" s="156" t="s">
        <v>309</v>
      </c>
      <c r="B73" s="157" t="s">
        <v>334</v>
      </c>
      <c r="C73" s="158">
        <v>17</v>
      </c>
      <c r="D73" s="158">
        <v>5</v>
      </c>
    </row>
    <row r="74" spans="1:4" x14ac:dyDescent="0.25">
      <c r="A74" s="156" t="s">
        <v>309</v>
      </c>
      <c r="B74" s="157" t="s">
        <v>335</v>
      </c>
      <c r="C74" s="158">
        <v>20</v>
      </c>
      <c r="D74" s="161">
        <v>6</v>
      </c>
    </row>
    <row r="75" spans="1:4" x14ac:dyDescent="0.25">
      <c r="A75" s="156" t="s">
        <v>309</v>
      </c>
      <c r="B75" s="157" t="s">
        <v>336</v>
      </c>
      <c r="C75" s="158">
        <v>19</v>
      </c>
      <c r="D75" s="158">
        <v>3</v>
      </c>
    </row>
    <row r="76" spans="1:4" x14ac:dyDescent="0.25">
      <c r="A76" s="156" t="s">
        <v>309</v>
      </c>
      <c r="B76" s="157" t="s">
        <v>337</v>
      </c>
      <c r="C76" s="158">
        <v>14</v>
      </c>
      <c r="D76" s="158">
        <v>2</v>
      </c>
    </row>
    <row r="77" spans="1:4" x14ac:dyDescent="0.25">
      <c r="A77" s="56"/>
      <c r="B77" s="60"/>
      <c r="C77" s="58"/>
      <c r="D77" s="58"/>
    </row>
    <row r="78" spans="1:4" x14ac:dyDescent="0.25">
      <c r="A78" s="56"/>
      <c r="B78" s="60"/>
      <c r="C78" s="58"/>
      <c r="D78" s="58"/>
    </row>
    <row r="79" spans="1:4" x14ac:dyDescent="0.25">
      <c r="A79" s="56"/>
      <c r="B79" s="60"/>
      <c r="C79" s="58"/>
      <c r="D79" s="58"/>
    </row>
    <row r="80" spans="1:4" x14ac:dyDescent="0.25">
      <c r="A80" s="56"/>
      <c r="B80" s="60"/>
      <c r="C80" s="58"/>
      <c r="D80" s="58"/>
    </row>
    <row r="81" spans="1:4" x14ac:dyDescent="0.25">
      <c r="A81" s="56"/>
      <c r="B81" s="60"/>
      <c r="C81" s="58"/>
      <c r="D81" s="58"/>
    </row>
    <row r="82" spans="1:4" x14ac:dyDescent="0.25">
      <c r="A82" s="56"/>
      <c r="B82" s="60"/>
      <c r="C82" s="58"/>
      <c r="D82" s="58"/>
    </row>
    <row r="83" spans="1:4" x14ac:dyDescent="0.25">
      <c r="A83" s="56"/>
      <c r="B83" s="60"/>
      <c r="C83" s="58"/>
      <c r="D83" s="58"/>
    </row>
    <row r="84" spans="1:4" x14ac:dyDescent="0.25">
      <c r="A84" s="56"/>
      <c r="B84" s="60"/>
      <c r="C84" s="58"/>
      <c r="D84" s="58"/>
    </row>
    <row r="85" spans="1:4" x14ac:dyDescent="0.25">
      <c r="A85" s="197" t="s">
        <v>338</v>
      </c>
      <c r="B85" s="197"/>
      <c r="C85" s="72">
        <f>SUM(C8:C84)</f>
        <v>1210</v>
      </c>
      <c r="D85" s="72">
        <f>SUM(D8:D84)</f>
        <v>361</v>
      </c>
    </row>
    <row r="89" spans="1:4" ht="30" x14ac:dyDescent="0.25">
      <c r="B89" s="73" t="s">
        <v>339</v>
      </c>
      <c r="C89" s="71">
        <f>D85</f>
        <v>361</v>
      </c>
      <c r="D89" s="198">
        <f>C89/C90*100</f>
        <v>29.834710743801651</v>
      </c>
    </row>
    <row r="90" spans="1:4" ht="30" x14ac:dyDescent="0.25">
      <c r="B90" s="73" t="s">
        <v>340</v>
      </c>
      <c r="C90" s="71">
        <f>C85</f>
        <v>1210</v>
      </c>
      <c r="D90" s="198"/>
    </row>
    <row r="111" ht="30.75" customHeight="1" x14ac:dyDescent="0.25"/>
    <row r="113" ht="30" customHeight="1" x14ac:dyDescent="0.25"/>
  </sheetData>
  <mergeCells count="3">
    <mergeCell ref="A5:D5"/>
    <mergeCell ref="A85:B85"/>
    <mergeCell ref="D89:D90"/>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4AAEB-B1DE-4D84-9180-1E302055909C}">
  <sheetPr>
    <tabColor theme="5"/>
  </sheetPr>
  <dimension ref="A1:S218"/>
  <sheetViews>
    <sheetView tabSelected="1" showWhiteSpace="0" topLeftCell="B75" zoomScale="80" zoomScaleNormal="80" zoomScaleSheetLayoutView="100" zoomScalePageLayoutView="40" workbookViewId="0">
      <selection activeCell="D82" sqref="D82"/>
    </sheetView>
  </sheetViews>
  <sheetFormatPr baseColWidth="10" defaultColWidth="11.42578125" defaultRowHeight="15" x14ac:dyDescent="0.25"/>
  <cols>
    <col min="1" max="1" width="7.5703125" customWidth="1"/>
    <col min="2" max="2" width="22.28515625" customWidth="1"/>
    <col min="3" max="3" width="45.7109375" customWidth="1"/>
    <col min="4" max="4" width="32.85546875" customWidth="1"/>
    <col min="5" max="5" width="8.85546875" customWidth="1"/>
    <col min="6" max="6" width="15.5703125" customWidth="1"/>
    <col min="7" max="7" width="33.5703125" customWidth="1"/>
    <col min="8" max="8" width="19.5703125" customWidth="1"/>
    <col min="9" max="9" width="15.42578125" customWidth="1"/>
    <col min="10" max="10" width="38.7109375" bestFit="1" customWidth="1"/>
  </cols>
  <sheetData>
    <row r="1" spans="1:19" s="25" customFormat="1" ht="21" x14ac:dyDescent="0.25">
      <c r="A1" s="1" t="s">
        <v>0</v>
      </c>
      <c r="B1" s="1"/>
      <c r="C1" s="1"/>
      <c r="D1" s="1"/>
      <c r="K1"/>
      <c r="Q1"/>
      <c r="R1"/>
      <c r="S1"/>
    </row>
    <row r="2" spans="1:19" s="25" customFormat="1" x14ac:dyDescent="0.25">
      <c r="A2" s="5" t="s">
        <v>1</v>
      </c>
      <c r="B2" s="5"/>
      <c r="C2" s="5"/>
      <c r="D2" s="5"/>
      <c r="K2"/>
      <c r="Q2"/>
      <c r="R2"/>
      <c r="S2"/>
    </row>
    <row r="3" spans="1:19" s="25" customFormat="1" ht="18" customHeight="1" thickBot="1" x14ac:dyDescent="0.3">
      <c r="A3" s="6" t="s">
        <v>522</v>
      </c>
      <c r="B3" s="6"/>
      <c r="C3" s="6"/>
      <c r="D3" s="7"/>
      <c r="E3" s="7"/>
      <c r="F3" s="7"/>
      <c r="G3" s="7"/>
      <c r="H3" s="7"/>
      <c r="I3" s="7"/>
      <c r="J3" s="7"/>
      <c r="K3"/>
      <c r="Q3"/>
      <c r="R3"/>
      <c r="S3"/>
    </row>
    <row r="4" spans="1:19" ht="16.5" thickTop="1" thickBot="1" x14ac:dyDescent="0.3"/>
    <row r="5" spans="1:19" ht="16.5" thickTop="1" thickBot="1" x14ac:dyDescent="0.3">
      <c r="A5" s="26" t="s">
        <v>22</v>
      </c>
      <c r="B5" s="27"/>
      <c r="C5" s="27"/>
      <c r="D5" s="28"/>
      <c r="G5" s="29" t="s">
        <v>23</v>
      </c>
      <c r="H5" s="201" t="s">
        <v>24</v>
      </c>
      <c r="I5" s="202"/>
      <c r="J5" s="203"/>
    </row>
    <row r="6" spans="1:19" ht="15.75" thickTop="1" x14ac:dyDescent="0.25">
      <c r="A6" s="27"/>
      <c r="B6" s="27"/>
      <c r="C6" s="27"/>
      <c r="D6" s="28"/>
      <c r="E6" s="25"/>
      <c r="F6" s="25"/>
      <c r="G6" s="30">
        <v>45035</v>
      </c>
      <c r="H6" s="204" t="s">
        <v>25</v>
      </c>
      <c r="I6" s="205"/>
      <c r="J6" s="206"/>
    </row>
    <row r="7" spans="1:19" ht="15.75" thickBot="1" x14ac:dyDescent="0.3">
      <c r="E7" s="25"/>
      <c r="F7" s="25"/>
      <c r="G7" s="31"/>
      <c r="H7" s="207" t="s">
        <v>26</v>
      </c>
      <c r="I7" s="208"/>
      <c r="J7" s="209"/>
    </row>
    <row r="8" spans="1:19" ht="15.75" thickTop="1" x14ac:dyDescent="0.25">
      <c r="A8" s="210" t="s">
        <v>539</v>
      </c>
      <c r="B8" s="210"/>
      <c r="C8" s="210"/>
      <c r="D8" s="210"/>
      <c r="E8" s="210"/>
      <c r="F8" s="210"/>
      <c r="G8" s="210"/>
      <c r="H8" s="210"/>
      <c r="I8" s="210"/>
      <c r="J8" s="210"/>
    </row>
    <row r="9" spans="1:19" x14ac:dyDescent="0.25">
      <c r="A9" s="211"/>
      <c r="B9" s="211"/>
      <c r="C9" s="211"/>
      <c r="D9" s="211"/>
      <c r="E9" s="211"/>
      <c r="F9" s="211"/>
      <c r="G9" s="211"/>
      <c r="H9" s="211"/>
      <c r="I9" s="211"/>
      <c r="J9" s="211"/>
    </row>
    <row r="10" spans="1:19" x14ac:dyDescent="0.25">
      <c r="A10" s="32"/>
      <c r="B10" s="32"/>
      <c r="C10" s="32"/>
      <c r="D10" s="32"/>
      <c r="E10" s="32"/>
      <c r="F10" s="32"/>
      <c r="G10" s="32"/>
      <c r="H10" s="32"/>
      <c r="I10" s="32"/>
      <c r="J10" s="32"/>
    </row>
    <row r="11" spans="1:19" s="34" customFormat="1" ht="75" x14ac:dyDescent="0.25">
      <c r="A11" s="33" t="s">
        <v>27</v>
      </c>
      <c r="B11" s="33" t="s">
        <v>28</v>
      </c>
      <c r="C11" s="17" t="s">
        <v>29</v>
      </c>
      <c r="D11" s="17" t="s">
        <v>30</v>
      </c>
      <c r="E11" s="17" t="s">
        <v>31</v>
      </c>
      <c r="F11" s="17" t="s">
        <v>32</v>
      </c>
      <c r="G11" s="17" t="s">
        <v>33</v>
      </c>
      <c r="H11" s="17" t="s">
        <v>34</v>
      </c>
      <c r="I11" s="17" t="s">
        <v>35</v>
      </c>
      <c r="J11" s="17" t="s">
        <v>36</v>
      </c>
    </row>
    <row r="12" spans="1:19" s="38" customFormat="1" ht="25.5" x14ac:dyDescent="0.2">
      <c r="A12" s="35">
        <v>1</v>
      </c>
      <c r="B12" s="36" t="s">
        <v>37</v>
      </c>
      <c r="C12" s="36" t="s">
        <v>38</v>
      </c>
      <c r="D12" s="36" t="s">
        <v>39</v>
      </c>
      <c r="E12" s="36" t="s">
        <v>40</v>
      </c>
      <c r="F12" s="37">
        <v>44966</v>
      </c>
      <c r="G12" s="36" t="s">
        <v>41</v>
      </c>
      <c r="H12" s="36">
        <v>21</v>
      </c>
      <c r="I12" s="36">
        <v>15</v>
      </c>
      <c r="J12" s="36" t="s">
        <v>42</v>
      </c>
    </row>
    <row r="13" spans="1:19" s="38" customFormat="1" ht="26.25" x14ac:dyDescent="0.25">
      <c r="A13" s="39">
        <v>2</v>
      </c>
      <c r="B13" s="40" t="s">
        <v>37</v>
      </c>
      <c r="C13" s="40" t="s">
        <v>43</v>
      </c>
      <c r="D13" s="40" t="s">
        <v>39</v>
      </c>
      <c r="E13" s="40" t="s">
        <v>40</v>
      </c>
      <c r="F13" s="40" t="s">
        <v>44</v>
      </c>
      <c r="G13" s="40" t="s">
        <v>41</v>
      </c>
      <c r="H13" s="40">
        <v>21</v>
      </c>
      <c r="I13" s="40">
        <v>17</v>
      </c>
      <c r="J13" s="40" t="s">
        <v>42</v>
      </c>
    </row>
    <row r="14" spans="1:19" s="38" customFormat="1" ht="26.25" x14ac:dyDescent="0.25">
      <c r="A14" s="39">
        <v>3</v>
      </c>
      <c r="B14" s="40" t="s">
        <v>37</v>
      </c>
      <c r="C14" s="40" t="s">
        <v>45</v>
      </c>
      <c r="D14" s="40" t="s">
        <v>39</v>
      </c>
      <c r="E14" s="40" t="s">
        <v>40</v>
      </c>
      <c r="F14" s="40" t="s">
        <v>46</v>
      </c>
      <c r="G14" s="40" t="s">
        <v>41</v>
      </c>
      <c r="H14" s="40">
        <v>21</v>
      </c>
      <c r="I14" s="40">
        <v>18</v>
      </c>
      <c r="J14" s="40" t="s">
        <v>42</v>
      </c>
    </row>
    <row r="15" spans="1:19" s="38" customFormat="1" ht="25.5" x14ac:dyDescent="0.2">
      <c r="A15" s="41">
        <v>4</v>
      </c>
      <c r="B15" s="40" t="s">
        <v>37</v>
      </c>
      <c r="C15" s="40" t="s">
        <v>47</v>
      </c>
      <c r="D15" s="40" t="s">
        <v>39</v>
      </c>
      <c r="E15" s="40" t="s">
        <v>40</v>
      </c>
      <c r="F15" s="40" t="s">
        <v>48</v>
      </c>
      <c r="G15" s="40" t="s">
        <v>41</v>
      </c>
      <c r="H15" s="40">
        <v>21</v>
      </c>
      <c r="I15" s="40">
        <v>13</v>
      </c>
      <c r="J15" s="40" t="s">
        <v>42</v>
      </c>
    </row>
    <row r="16" spans="1:19" s="38" customFormat="1" ht="26.25" x14ac:dyDescent="0.25">
      <c r="A16" s="39">
        <v>5</v>
      </c>
      <c r="B16" s="40" t="s">
        <v>37</v>
      </c>
      <c r="C16" s="40" t="s">
        <v>49</v>
      </c>
      <c r="D16" s="40" t="s">
        <v>39</v>
      </c>
      <c r="E16" s="40" t="s">
        <v>40</v>
      </c>
      <c r="F16" s="42">
        <v>44994</v>
      </c>
      <c r="G16" s="40" t="s">
        <v>41</v>
      </c>
      <c r="H16" s="40">
        <v>21</v>
      </c>
      <c r="I16" s="40">
        <v>12</v>
      </c>
      <c r="J16" s="40" t="s">
        <v>42</v>
      </c>
    </row>
    <row r="17" spans="1:10" s="38" customFormat="1" ht="26.25" x14ac:dyDescent="0.25">
      <c r="A17" s="39">
        <v>6</v>
      </c>
      <c r="B17" s="40" t="s">
        <v>37</v>
      </c>
      <c r="C17" s="40" t="s">
        <v>50</v>
      </c>
      <c r="D17" s="40" t="s">
        <v>39</v>
      </c>
      <c r="E17" s="40" t="s">
        <v>40</v>
      </c>
      <c r="F17" s="40" t="s">
        <v>51</v>
      </c>
      <c r="G17" s="40" t="s">
        <v>41</v>
      </c>
      <c r="H17" s="40">
        <v>21</v>
      </c>
      <c r="I17" s="40">
        <v>14</v>
      </c>
      <c r="J17" s="40" t="s">
        <v>42</v>
      </c>
    </row>
    <row r="18" spans="1:10" s="38" customFormat="1" ht="25.5" x14ac:dyDescent="0.2">
      <c r="A18" s="41">
        <v>7</v>
      </c>
      <c r="B18" s="40" t="s">
        <v>37</v>
      </c>
      <c r="C18" s="40" t="s">
        <v>52</v>
      </c>
      <c r="D18" s="40" t="s">
        <v>39</v>
      </c>
      <c r="E18" s="40" t="s">
        <v>40</v>
      </c>
      <c r="F18" s="42">
        <v>45015</v>
      </c>
      <c r="G18" s="40" t="s">
        <v>41</v>
      </c>
      <c r="H18" s="40">
        <v>21</v>
      </c>
      <c r="I18" s="40">
        <v>13</v>
      </c>
      <c r="J18" s="40" t="s">
        <v>42</v>
      </c>
    </row>
    <row r="19" spans="1:10" s="38" customFormat="1" ht="39" x14ac:dyDescent="0.25">
      <c r="A19" s="39">
        <v>8</v>
      </c>
      <c r="B19" s="40" t="s">
        <v>53</v>
      </c>
      <c r="C19" s="40" t="s">
        <v>54</v>
      </c>
      <c r="D19" s="40" t="s">
        <v>55</v>
      </c>
      <c r="E19" s="40" t="s">
        <v>40</v>
      </c>
      <c r="F19" s="42">
        <v>44964</v>
      </c>
      <c r="G19" s="40" t="s">
        <v>41</v>
      </c>
      <c r="H19" s="40">
        <v>12</v>
      </c>
      <c r="I19" s="40">
        <v>11</v>
      </c>
      <c r="J19" s="40" t="s">
        <v>42</v>
      </c>
    </row>
    <row r="20" spans="1:10" s="38" customFormat="1" ht="26.25" x14ac:dyDescent="0.25">
      <c r="A20" s="39">
        <v>9</v>
      </c>
      <c r="B20" s="40" t="s">
        <v>53</v>
      </c>
      <c r="C20" s="40" t="s">
        <v>56</v>
      </c>
      <c r="D20" s="40" t="s">
        <v>55</v>
      </c>
      <c r="E20" s="40" t="s">
        <v>40</v>
      </c>
      <c r="F20" s="40" t="s">
        <v>57</v>
      </c>
      <c r="G20" s="40" t="s">
        <v>41</v>
      </c>
      <c r="H20" s="40">
        <v>12</v>
      </c>
      <c r="I20" s="40">
        <v>12</v>
      </c>
      <c r="J20" s="40" t="s">
        <v>42</v>
      </c>
    </row>
    <row r="21" spans="1:10" s="38" customFormat="1" ht="25.5" x14ac:dyDescent="0.2">
      <c r="A21" s="41">
        <v>10</v>
      </c>
      <c r="B21" s="40" t="s">
        <v>53</v>
      </c>
      <c r="C21" s="40" t="s">
        <v>58</v>
      </c>
      <c r="D21" s="40" t="s">
        <v>55</v>
      </c>
      <c r="E21" s="40" t="s">
        <v>40</v>
      </c>
      <c r="F21" s="40" t="s">
        <v>59</v>
      </c>
      <c r="G21" s="40" t="s">
        <v>41</v>
      </c>
      <c r="H21" s="40">
        <v>12</v>
      </c>
      <c r="I21" s="40">
        <v>12</v>
      </c>
      <c r="J21" s="40" t="s">
        <v>42</v>
      </c>
    </row>
    <row r="22" spans="1:10" s="38" customFormat="1" ht="26.25" x14ac:dyDescent="0.25">
      <c r="A22" s="39">
        <v>11</v>
      </c>
      <c r="B22" s="40" t="s">
        <v>53</v>
      </c>
      <c r="C22" s="40" t="s">
        <v>60</v>
      </c>
      <c r="D22" s="40" t="s">
        <v>55</v>
      </c>
      <c r="E22" s="40" t="s">
        <v>40</v>
      </c>
      <c r="F22" s="42">
        <v>44986</v>
      </c>
      <c r="G22" s="40" t="s">
        <v>41</v>
      </c>
      <c r="H22" s="40">
        <v>12</v>
      </c>
      <c r="I22" s="40">
        <v>2</v>
      </c>
      <c r="J22" s="40" t="s">
        <v>42</v>
      </c>
    </row>
    <row r="23" spans="1:10" s="38" customFormat="1" ht="26.25" x14ac:dyDescent="0.25">
      <c r="A23" s="39">
        <v>12</v>
      </c>
      <c r="B23" s="40" t="s">
        <v>53</v>
      </c>
      <c r="C23" s="40" t="s">
        <v>61</v>
      </c>
      <c r="D23" s="40" t="s">
        <v>55</v>
      </c>
      <c r="E23" s="40" t="s">
        <v>40</v>
      </c>
      <c r="F23" s="40" t="s">
        <v>62</v>
      </c>
      <c r="G23" s="40" t="s">
        <v>41</v>
      </c>
      <c r="H23" s="40">
        <v>12</v>
      </c>
      <c r="I23" s="40">
        <v>10</v>
      </c>
      <c r="J23" s="40" t="s">
        <v>42</v>
      </c>
    </row>
    <row r="24" spans="1:10" s="38" customFormat="1" ht="25.5" x14ac:dyDescent="0.2">
      <c r="A24" s="41">
        <v>13</v>
      </c>
      <c r="B24" s="40" t="s">
        <v>53</v>
      </c>
      <c r="C24" s="40" t="s">
        <v>63</v>
      </c>
      <c r="D24" s="40" t="s">
        <v>55</v>
      </c>
      <c r="E24" s="40" t="s">
        <v>40</v>
      </c>
      <c r="F24" s="40" t="s">
        <v>64</v>
      </c>
      <c r="G24" s="40" t="s">
        <v>41</v>
      </c>
      <c r="H24" s="40">
        <v>12</v>
      </c>
      <c r="I24" s="40">
        <v>10</v>
      </c>
      <c r="J24" s="40" t="s">
        <v>65</v>
      </c>
    </row>
    <row r="25" spans="1:10" s="38" customFormat="1" ht="26.25" x14ac:dyDescent="0.25">
      <c r="A25" s="39">
        <v>14</v>
      </c>
      <c r="B25" s="40" t="s">
        <v>66</v>
      </c>
      <c r="C25" s="40" t="s">
        <v>67</v>
      </c>
      <c r="D25" s="40" t="s">
        <v>68</v>
      </c>
      <c r="E25" s="40" t="s">
        <v>40</v>
      </c>
      <c r="F25" s="42">
        <v>44966</v>
      </c>
      <c r="G25" s="40" t="s">
        <v>41</v>
      </c>
      <c r="H25" s="40">
        <v>10</v>
      </c>
      <c r="I25" s="40">
        <v>4</v>
      </c>
      <c r="J25" s="40" t="s">
        <v>69</v>
      </c>
    </row>
    <row r="26" spans="1:10" s="38" customFormat="1" ht="26.25" x14ac:dyDescent="0.25">
      <c r="A26" s="39">
        <v>15</v>
      </c>
      <c r="B26" s="40" t="s">
        <v>66</v>
      </c>
      <c r="C26" s="40" t="s">
        <v>70</v>
      </c>
      <c r="D26" s="40" t="s">
        <v>68</v>
      </c>
      <c r="E26" s="40" t="s">
        <v>40</v>
      </c>
      <c r="F26" s="42">
        <v>44970</v>
      </c>
      <c r="G26" s="40" t="s">
        <v>41</v>
      </c>
      <c r="H26" s="40">
        <v>10</v>
      </c>
      <c r="I26" s="40">
        <v>8</v>
      </c>
      <c r="J26" s="40" t="s">
        <v>69</v>
      </c>
    </row>
    <row r="27" spans="1:10" s="38" customFormat="1" ht="51" x14ac:dyDescent="0.2">
      <c r="A27" s="41">
        <v>16</v>
      </c>
      <c r="B27" s="40" t="s">
        <v>66</v>
      </c>
      <c r="C27" s="43" t="s">
        <v>71</v>
      </c>
      <c r="D27" s="40" t="s">
        <v>68</v>
      </c>
      <c r="E27" s="40" t="s">
        <v>40</v>
      </c>
      <c r="F27" s="40" t="s">
        <v>72</v>
      </c>
      <c r="G27" s="40" t="s">
        <v>41</v>
      </c>
      <c r="H27" s="40">
        <v>10</v>
      </c>
      <c r="I27" s="40">
        <v>10</v>
      </c>
      <c r="J27" s="40" t="s">
        <v>69</v>
      </c>
    </row>
    <row r="28" spans="1:10" s="38" customFormat="1" ht="26.25" x14ac:dyDescent="0.25">
      <c r="A28" s="39">
        <v>17</v>
      </c>
      <c r="B28" s="40" t="s">
        <v>66</v>
      </c>
      <c r="C28" s="43" t="s">
        <v>73</v>
      </c>
      <c r="D28" s="40" t="s">
        <v>68</v>
      </c>
      <c r="E28" s="40" t="s">
        <v>40</v>
      </c>
      <c r="F28" s="40" t="s">
        <v>74</v>
      </c>
      <c r="G28" s="40" t="s">
        <v>41</v>
      </c>
      <c r="H28" s="40">
        <v>10</v>
      </c>
      <c r="I28" s="40">
        <v>9</v>
      </c>
      <c r="J28" s="40" t="s">
        <v>69</v>
      </c>
    </row>
    <row r="29" spans="1:10" s="38" customFormat="1" ht="26.25" x14ac:dyDescent="0.25">
      <c r="A29" s="39">
        <v>18</v>
      </c>
      <c r="B29" s="40" t="s">
        <v>66</v>
      </c>
      <c r="C29" s="43" t="s">
        <v>75</v>
      </c>
      <c r="D29" s="40" t="s">
        <v>68</v>
      </c>
      <c r="E29" s="40" t="s">
        <v>40</v>
      </c>
      <c r="F29" s="40" t="s">
        <v>76</v>
      </c>
      <c r="G29" s="40" t="s">
        <v>41</v>
      </c>
      <c r="H29" s="40">
        <v>10</v>
      </c>
      <c r="I29" s="40">
        <v>9</v>
      </c>
      <c r="J29" s="40" t="s">
        <v>69</v>
      </c>
    </row>
    <row r="30" spans="1:10" s="38" customFormat="1" ht="12.75" x14ac:dyDescent="0.2">
      <c r="A30" s="35">
        <v>19</v>
      </c>
      <c r="B30" s="35" t="s">
        <v>77</v>
      </c>
      <c r="C30" s="36" t="s">
        <v>78</v>
      </c>
      <c r="D30" s="36" t="s">
        <v>79</v>
      </c>
      <c r="E30" s="36" t="s">
        <v>40</v>
      </c>
      <c r="F30" s="37">
        <v>44951</v>
      </c>
      <c r="G30" s="36" t="s">
        <v>80</v>
      </c>
      <c r="H30" s="36">
        <v>16</v>
      </c>
      <c r="I30" s="36">
        <v>14</v>
      </c>
      <c r="J30" s="36" t="s">
        <v>81</v>
      </c>
    </row>
    <row r="31" spans="1:10" s="38" customFormat="1" ht="26.25" x14ac:dyDescent="0.25">
      <c r="A31" s="39">
        <v>20</v>
      </c>
      <c r="B31" s="41" t="s">
        <v>77</v>
      </c>
      <c r="C31" s="40" t="s">
        <v>82</v>
      </c>
      <c r="D31" s="40" t="s">
        <v>79</v>
      </c>
      <c r="E31" s="40" t="s">
        <v>40</v>
      </c>
      <c r="F31" s="42">
        <v>44959</v>
      </c>
      <c r="G31" s="40" t="s">
        <v>80</v>
      </c>
      <c r="H31" s="40">
        <v>16</v>
      </c>
      <c r="I31" s="40">
        <v>13</v>
      </c>
      <c r="J31" s="40" t="s">
        <v>81</v>
      </c>
    </row>
    <row r="32" spans="1:10" s="38" customFormat="1" ht="26.25" x14ac:dyDescent="0.25">
      <c r="A32" s="39">
        <v>21</v>
      </c>
      <c r="B32" s="41" t="s">
        <v>77</v>
      </c>
      <c r="C32" s="40" t="s">
        <v>83</v>
      </c>
      <c r="D32" s="40" t="s">
        <v>79</v>
      </c>
      <c r="E32" s="40" t="s">
        <v>40</v>
      </c>
      <c r="F32" s="42">
        <v>44965</v>
      </c>
      <c r="G32" s="40" t="s">
        <v>80</v>
      </c>
      <c r="H32" s="40">
        <v>16</v>
      </c>
      <c r="I32" s="40">
        <v>14</v>
      </c>
      <c r="J32" s="40" t="s">
        <v>81</v>
      </c>
    </row>
    <row r="33" spans="1:10" s="38" customFormat="1" ht="12.75" x14ac:dyDescent="0.2">
      <c r="A33" s="41">
        <v>22</v>
      </c>
      <c r="B33" s="41" t="s">
        <v>77</v>
      </c>
      <c r="C33" s="40" t="s">
        <v>84</v>
      </c>
      <c r="D33" s="40" t="s">
        <v>79</v>
      </c>
      <c r="E33" s="40" t="s">
        <v>40</v>
      </c>
      <c r="F33" s="42">
        <v>44993</v>
      </c>
      <c r="G33" s="40" t="s">
        <v>80</v>
      </c>
      <c r="H33" s="40">
        <v>16</v>
      </c>
      <c r="I33" s="40">
        <v>13</v>
      </c>
      <c r="J33" s="40" t="s">
        <v>81</v>
      </c>
    </row>
    <row r="34" spans="1:10" s="38" customFormat="1" x14ac:dyDescent="0.25">
      <c r="A34" s="39">
        <v>23</v>
      </c>
      <c r="B34" s="41" t="s">
        <v>77</v>
      </c>
      <c r="C34" s="40" t="s">
        <v>85</v>
      </c>
      <c r="D34" s="40" t="s">
        <v>79</v>
      </c>
      <c r="E34" s="40" t="s">
        <v>40</v>
      </c>
      <c r="F34" s="42">
        <v>45007</v>
      </c>
      <c r="G34" s="40" t="s">
        <v>80</v>
      </c>
      <c r="H34" s="40">
        <v>16</v>
      </c>
      <c r="I34" s="40">
        <v>13</v>
      </c>
      <c r="J34" s="40" t="s">
        <v>81</v>
      </c>
    </row>
    <row r="35" spans="1:10" s="38" customFormat="1" ht="26.25" x14ac:dyDescent="0.25">
      <c r="A35" s="39">
        <v>24</v>
      </c>
      <c r="B35" s="41" t="s">
        <v>86</v>
      </c>
      <c r="C35" s="40" t="s">
        <v>87</v>
      </c>
      <c r="D35" s="40" t="s">
        <v>88</v>
      </c>
      <c r="E35" s="40" t="s">
        <v>40</v>
      </c>
      <c r="F35" s="40" t="s">
        <v>89</v>
      </c>
      <c r="G35" s="40" t="s">
        <v>80</v>
      </c>
      <c r="H35" s="40">
        <v>19</v>
      </c>
      <c r="I35" s="40">
        <v>13</v>
      </c>
      <c r="J35" s="40" t="s">
        <v>81</v>
      </c>
    </row>
    <row r="36" spans="1:10" s="38" customFormat="1" ht="25.5" x14ac:dyDescent="0.2">
      <c r="A36" s="41">
        <v>25</v>
      </c>
      <c r="B36" s="41" t="s">
        <v>86</v>
      </c>
      <c r="C36" s="43" t="s">
        <v>90</v>
      </c>
      <c r="D36" s="40" t="s">
        <v>88</v>
      </c>
      <c r="E36" s="40" t="s">
        <v>40</v>
      </c>
      <c r="F36" s="40" t="s">
        <v>91</v>
      </c>
      <c r="G36" s="40" t="s">
        <v>80</v>
      </c>
      <c r="H36" s="40">
        <v>19</v>
      </c>
      <c r="I36" s="40">
        <v>13</v>
      </c>
      <c r="J36" s="40" t="s">
        <v>81</v>
      </c>
    </row>
    <row r="37" spans="1:10" s="38" customFormat="1" ht="26.25" x14ac:dyDescent="0.25">
      <c r="A37" s="39">
        <v>26</v>
      </c>
      <c r="B37" s="41" t="s">
        <v>92</v>
      </c>
      <c r="C37" s="40" t="s">
        <v>93</v>
      </c>
      <c r="D37" s="40" t="s">
        <v>94</v>
      </c>
      <c r="E37" s="40" t="s">
        <v>40</v>
      </c>
      <c r="F37" s="40" t="s">
        <v>95</v>
      </c>
      <c r="G37" s="40" t="s">
        <v>80</v>
      </c>
      <c r="H37" s="40">
        <v>7</v>
      </c>
      <c r="I37" s="40">
        <v>7</v>
      </c>
      <c r="J37" s="40" t="s">
        <v>81</v>
      </c>
    </row>
    <row r="38" spans="1:10" s="38" customFormat="1" ht="26.25" x14ac:dyDescent="0.25">
      <c r="A38" s="39">
        <v>27</v>
      </c>
      <c r="B38" s="41" t="s">
        <v>92</v>
      </c>
      <c r="C38" s="40" t="s">
        <v>96</v>
      </c>
      <c r="D38" s="40" t="s">
        <v>94</v>
      </c>
      <c r="E38" s="40" t="s">
        <v>40</v>
      </c>
      <c r="F38" s="40" t="s">
        <v>97</v>
      </c>
      <c r="G38" s="40" t="s">
        <v>80</v>
      </c>
      <c r="H38" s="40">
        <v>7</v>
      </c>
      <c r="I38" s="40">
        <v>7</v>
      </c>
      <c r="J38" s="40" t="s">
        <v>81</v>
      </c>
    </row>
    <row r="39" spans="1:10" s="38" customFormat="1" ht="25.5" x14ac:dyDescent="0.2">
      <c r="A39" s="41">
        <v>28</v>
      </c>
      <c r="B39" s="41" t="s">
        <v>98</v>
      </c>
      <c r="C39" s="40" t="s">
        <v>99</v>
      </c>
      <c r="D39" s="40" t="s">
        <v>94</v>
      </c>
      <c r="E39" s="40" t="s">
        <v>40</v>
      </c>
      <c r="F39" s="40" t="s">
        <v>100</v>
      </c>
      <c r="G39" s="40" t="s">
        <v>80</v>
      </c>
      <c r="H39" s="40">
        <v>10</v>
      </c>
      <c r="I39" s="40">
        <v>10</v>
      </c>
      <c r="J39" s="40" t="s">
        <v>81</v>
      </c>
    </row>
    <row r="40" spans="1:10" s="38" customFormat="1" ht="27" thickBot="1" x14ac:dyDescent="0.3">
      <c r="A40" s="39">
        <v>29</v>
      </c>
      <c r="B40" s="41" t="s">
        <v>98</v>
      </c>
      <c r="C40" s="40" t="s">
        <v>101</v>
      </c>
      <c r="D40" s="40" t="s">
        <v>94</v>
      </c>
      <c r="E40" s="40" t="s">
        <v>40</v>
      </c>
      <c r="F40" s="40" t="s">
        <v>102</v>
      </c>
      <c r="G40" s="40" t="s">
        <v>80</v>
      </c>
      <c r="H40" s="40">
        <v>10</v>
      </c>
      <c r="I40" s="40">
        <v>10</v>
      </c>
      <c r="J40" s="40" t="s">
        <v>81</v>
      </c>
    </row>
    <row r="41" spans="1:10" s="38" customFormat="1" ht="27" thickBot="1" x14ac:dyDescent="0.3">
      <c r="A41" s="39">
        <v>30</v>
      </c>
      <c r="B41" s="35" t="s">
        <v>103</v>
      </c>
      <c r="C41" s="44" t="s">
        <v>104</v>
      </c>
      <c r="D41" s="35">
        <v>2</v>
      </c>
      <c r="E41" s="36" t="s">
        <v>40</v>
      </c>
      <c r="F41" s="37">
        <v>44956</v>
      </c>
      <c r="G41" s="36" t="s">
        <v>105</v>
      </c>
      <c r="H41" s="36">
        <v>29</v>
      </c>
      <c r="I41" s="36">
        <v>27</v>
      </c>
      <c r="J41" s="36" t="s">
        <v>106</v>
      </c>
    </row>
    <row r="42" spans="1:10" s="38" customFormat="1" ht="13.5" thickBot="1" x14ac:dyDescent="0.25">
      <c r="A42" s="41">
        <v>31</v>
      </c>
      <c r="B42" s="41" t="s">
        <v>103</v>
      </c>
      <c r="C42" s="45" t="s">
        <v>107</v>
      </c>
      <c r="D42" s="41">
        <v>2</v>
      </c>
      <c r="E42" s="40" t="s">
        <v>40</v>
      </c>
      <c r="F42" s="42">
        <v>44980</v>
      </c>
      <c r="G42" s="40" t="s">
        <v>105</v>
      </c>
      <c r="H42" s="40">
        <v>29</v>
      </c>
      <c r="I42" s="40">
        <v>26</v>
      </c>
      <c r="J42" s="40" t="s">
        <v>106</v>
      </c>
    </row>
    <row r="43" spans="1:10" s="38" customFormat="1" ht="15.75" thickBot="1" x14ac:dyDescent="0.3">
      <c r="A43" s="39">
        <v>32</v>
      </c>
      <c r="B43" s="41" t="s">
        <v>103</v>
      </c>
      <c r="C43" s="45" t="s">
        <v>108</v>
      </c>
      <c r="D43" s="41">
        <v>2</v>
      </c>
      <c r="E43" s="40" t="s">
        <v>40</v>
      </c>
      <c r="F43" s="42">
        <v>44987</v>
      </c>
      <c r="G43" s="40" t="s">
        <v>105</v>
      </c>
      <c r="H43" s="40">
        <v>29</v>
      </c>
      <c r="I43" s="40">
        <v>26</v>
      </c>
      <c r="J43" s="40" t="s">
        <v>106</v>
      </c>
    </row>
    <row r="44" spans="1:10" s="38" customFormat="1" ht="15.75" thickBot="1" x14ac:dyDescent="0.3">
      <c r="A44" s="39">
        <v>33</v>
      </c>
      <c r="B44" s="41" t="s">
        <v>103</v>
      </c>
      <c r="C44" s="45" t="s">
        <v>109</v>
      </c>
      <c r="D44" s="41">
        <v>2</v>
      </c>
      <c r="E44" s="40" t="s">
        <v>40</v>
      </c>
      <c r="F44" s="42">
        <v>45001</v>
      </c>
      <c r="G44" s="40" t="s">
        <v>105</v>
      </c>
      <c r="H44" s="40">
        <v>29</v>
      </c>
      <c r="I44" s="40">
        <v>26</v>
      </c>
      <c r="J44" s="40" t="s">
        <v>106</v>
      </c>
    </row>
    <row r="45" spans="1:10" s="38" customFormat="1" ht="26.25" thickBot="1" x14ac:dyDescent="0.25">
      <c r="A45" s="41">
        <v>34</v>
      </c>
      <c r="B45" s="41" t="s">
        <v>103</v>
      </c>
      <c r="C45" s="45" t="s">
        <v>104</v>
      </c>
      <c r="D45" s="41">
        <v>2</v>
      </c>
      <c r="E45" s="40" t="s">
        <v>110</v>
      </c>
      <c r="F45" s="42">
        <v>44956</v>
      </c>
      <c r="G45" s="40" t="s">
        <v>105</v>
      </c>
      <c r="H45" s="40">
        <v>20</v>
      </c>
      <c r="I45" s="40">
        <v>15</v>
      </c>
      <c r="J45" s="40" t="s">
        <v>111</v>
      </c>
    </row>
    <row r="46" spans="1:10" s="38" customFormat="1" ht="15.75" thickBot="1" x14ac:dyDescent="0.3">
      <c r="A46" s="39">
        <v>35</v>
      </c>
      <c r="B46" s="41" t="s">
        <v>103</v>
      </c>
      <c r="C46" s="45" t="s">
        <v>107</v>
      </c>
      <c r="D46" s="41">
        <v>2</v>
      </c>
      <c r="E46" s="40" t="s">
        <v>110</v>
      </c>
      <c r="F46" s="42">
        <v>44977</v>
      </c>
      <c r="G46" s="40" t="s">
        <v>105</v>
      </c>
      <c r="H46" s="40">
        <v>20</v>
      </c>
      <c r="I46" s="40">
        <v>18</v>
      </c>
      <c r="J46" s="40" t="s">
        <v>111</v>
      </c>
    </row>
    <row r="47" spans="1:10" s="38" customFormat="1" ht="15.75" thickBot="1" x14ac:dyDescent="0.3">
      <c r="A47" s="39">
        <v>36</v>
      </c>
      <c r="B47" s="41" t="s">
        <v>103</v>
      </c>
      <c r="C47" s="45" t="s">
        <v>108</v>
      </c>
      <c r="D47" s="41">
        <v>2</v>
      </c>
      <c r="E47" s="40" t="s">
        <v>110</v>
      </c>
      <c r="F47" s="42">
        <v>44984</v>
      </c>
      <c r="G47" s="40" t="s">
        <v>105</v>
      </c>
      <c r="H47" s="40">
        <v>20</v>
      </c>
      <c r="I47" s="40">
        <v>17</v>
      </c>
      <c r="J47" s="40" t="s">
        <v>111</v>
      </c>
    </row>
    <row r="48" spans="1:10" s="46" customFormat="1" ht="13.5" thickBot="1" x14ac:dyDescent="0.25">
      <c r="A48" s="35">
        <v>37</v>
      </c>
      <c r="B48" s="41" t="s">
        <v>103</v>
      </c>
      <c r="C48" s="45" t="s">
        <v>109</v>
      </c>
      <c r="D48" s="41">
        <v>2</v>
      </c>
      <c r="E48" s="40" t="s">
        <v>110</v>
      </c>
      <c r="F48" s="42">
        <v>45000</v>
      </c>
      <c r="G48" s="40" t="s">
        <v>105</v>
      </c>
      <c r="H48" s="40">
        <v>20</v>
      </c>
      <c r="I48" s="40">
        <v>15</v>
      </c>
      <c r="J48" s="40" t="s">
        <v>111</v>
      </c>
    </row>
    <row r="49" spans="1:10" s="46" customFormat="1" ht="75" x14ac:dyDescent="0.25">
      <c r="A49" s="39">
        <v>38</v>
      </c>
      <c r="B49" s="35" t="s">
        <v>112</v>
      </c>
      <c r="C49" s="47" t="s">
        <v>113</v>
      </c>
      <c r="D49" s="36" t="s">
        <v>114</v>
      </c>
      <c r="E49" s="36" t="s">
        <v>40</v>
      </c>
      <c r="F49" s="36" t="s">
        <v>115</v>
      </c>
      <c r="G49" s="36" t="s">
        <v>116</v>
      </c>
      <c r="H49" s="36">
        <v>28</v>
      </c>
      <c r="I49" s="36">
        <v>28</v>
      </c>
      <c r="J49" s="36" t="s">
        <v>69</v>
      </c>
    </row>
    <row r="50" spans="1:10" s="46" customFormat="1" ht="75" x14ac:dyDescent="0.25">
      <c r="A50" s="39">
        <v>39</v>
      </c>
      <c r="B50" s="35" t="s">
        <v>112</v>
      </c>
      <c r="C50" s="48" t="s">
        <v>117</v>
      </c>
      <c r="D50" s="40" t="s">
        <v>114</v>
      </c>
      <c r="E50" s="40" t="s">
        <v>40</v>
      </c>
      <c r="F50" s="40" t="s">
        <v>118</v>
      </c>
      <c r="G50" s="40" t="s">
        <v>116</v>
      </c>
      <c r="H50" s="40">
        <v>28</v>
      </c>
      <c r="I50" s="40">
        <v>28</v>
      </c>
      <c r="J50" s="40" t="s">
        <v>69</v>
      </c>
    </row>
    <row r="51" spans="1:10" s="46" customFormat="1" ht="105" x14ac:dyDescent="0.25">
      <c r="A51" s="41">
        <v>40</v>
      </c>
      <c r="B51" s="35" t="s">
        <v>112</v>
      </c>
      <c r="C51" s="48" t="s">
        <v>119</v>
      </c>
      <c r="D51" s="40" t="s">
        <v>114</v>
      </c>
      <c r="E51" s="40" t="s">
        <v>40</v>
      </c>
      <c r="F51" s="40" t="s">
        <v>120</v>
      </c>
      <c r="G51" s="40" t="s">
        <v>116</v>
      </c>
      <c r="H51" s="40">
        <v>28</v>
      </c>
      <c r="I51" s="40">
        <v>27</v>
      </c>
      <c r="J51" s="40" t="s">
        <v>69</v>
      </c>
    </row>
    <row r="52" spans="1:10" s="46" customFormat="1" ht="60" x14ac:dyDescent="0.25">
      <c r="A52" s="39">
        <v>41</v>
      </c>
      <c r="B52" s="35" t="s">
        <v>112</v>
      </c>
      <c r="C52" s="48" t="s">
        <v>121</v>
      </c>
      <c r="D52" s="40" t="s">
        <v>114</v>
      </c>
      <c r="E52" s="40" t="s">
        <v>40</v>
      </c>
      <c r="F52" s="40" t="s">
        <v>122</v>
      </c>
      <c r="G52" s="40" t="s">
        <v>116</v>
      </c>
      <c r="H52" s="40">
        <v>28</v>
      </c>
      <c r="I52" s="40">
        <v>27</v>
      </c>
      <c r="J52" s="40" t="s">
        <v>69</v>
      </c>
    </row>
    <row r="53" spans="1:10" s="46" customFormat="1" ht="60" x14ac:dyDescent="0.25">
      <c r="A53" s="39">
        <v>42</v>
      </c>
      <c r="B53" s="35" t="s">
        <v>112</v>
      </c>
      <c r="C53" s="48" t="s">
        <v>123</v>
      </c>
      <c r="D53" s="40" t="s">
        <v>114</v>
      </c>
      <c r="E53" s="40" t="s">
        <v>40</v>
      </c>
      <c r="F53" s="40" t="s">
        <v>124</v>
      </c>
      <c r="G53" s="40" t="s">
        <v>116</v>
      </c>
      <c r="H53" s="40">
        <v>28</v>
      </c>
      <c r="I53" s="40">
        <v>27</v>
      </c>
      <c r="J53" s="40" t="s">
        <v>69</v>
      </c>
    </row>
    <row r="54" spans="1:10" s="46" customFormat="1" ht="75" x14ac:dyDescent="0.25">
      <c r="A54" s="39"/>
      <c r="B54" s="35" t="s">
        <v>112</v>
      </c>
      <c r="C54" s="48" t="s">
        <v>553</v>
      </c>
      <c r="D54" s="40" t="s">
        <v>114</v>
      </c>
      <c r="E54" s="40" t="s">
        <v>40</v>
      </c>
      <c r="F54" s="40" t="s">
        <v>569</v>
      </c>
      <c r="G54" s="40" t="s">
        <v>116</v>
      </c>
      <c r="H54" s="40">
        <v>28</v>
      </c>
      <c r="I54" s="40">
        <v>27</v>
      </c>
      <c r="J54" s="40" t="s">
        <v>69</v>
      </c>
    </row>
    <row r="55" spans="1:10" s="46" customFormat="1" ht="60" x14ac:dyDescent="0.25">
      <c r="A55" s="39"/>
      <c r="B55" s="35" t="s">
        <v>112</v>
      </c>
      <c r="C55" s="48" t="s">
        <v>554</v>
      </c>
      <c r="D55" s="40" t="s">
        <v>114</v>
      </c>
      <c r="E55" s="40" t="s">
        <v>40</v>
      </c>
      <c r="F55" s="40" t="s">
        <v>570</v>
      </c>
      <c r="G55" s="40" t="s">
        <v>116</v>
      </c>
      <c r="H55" s="40">
        <v>28</v>
      </c>
      <c r="I55" s="40">
        <v>27</v>
      </c>
      <c r="J55" s="40" t="s">
        <v>69</v>
      </c>
    </row>
    <row r="56" spans="1:10" s="46" customFormat="1" ht="75" x14ac:dyDescent="0.25">
      <c r="A56" s="39"/>
      <c r="B56" s="35" t="s">
        <v>112</v>
      </c>
      <c r="C56" s="48" t="s">
        <v>556</v>
      </c>
      <c r="D56" s="40" t="s">
        <v>114</v>
      </c>
      <c r="E56" s="40" t="s">
        <v>40</v>
      </c>
      <c r="F56" s="40" t="s">
        <v>571</v>
      </c>
      <c r="G56" s="40" t="s">
        <v>116</v>
      </c>
      <c r="H56" s="40">
        <v>28</v>
      </c>
      <c r="I56" s="40">
        <v>27</v>
      </c>
      <c r="J56" s="40" t="s">
        <v>69</v>
      </c>
    </row>
    <row r="57" spans="1:10" s="46" customFormat="1" ht="60" x14ac:dyDescent="0.25">
      <c r="A57" s="39"/>
      <c r="B57" s="35" t="s">
        <v>112</v>
      </c>
      <c r="C57" s="48" t="s">
        <v>555</v>
      </c>
      <c r="D57" s="40" t="s">
        <v>114</v>
      </c>
      <c r="E57" s="40" t="s">
        <v>40</v>
      </c>
      <c r="F57" s="40" t="s">
        <v>572</v>
      </c>
      <c r="G57" s="40" t="s">
        <v>116</v>
      </c>
      <c r="H57" s="40">
        <v>28</v>
      </c>
      <c r="I57" s="40">
        <v>27</v>
      </c>
      <c r="J57" s="40" t="s">
        <v>69</v>
      </c>
    </row>
    <row r="58" spans="1:10" s="46" customFormat="1" ht="120" x14ac:dyDescent="0.25">
      <c r="A58" s="41">
        <v>43</v>
      </c>
      <c r="B58" s="41" t="s">
        <v>125</v>
      </c>
      <c r="C58" s="49" t="s">
        <v>126</v>
      </c>
      <c r="D58" s="40" t="s">
        <v>79</v>
      </c>
      <c r="E58" s="40" t="s">
        <v>40</v>
      </c>
      <c r="F58" s="42">
        <v>44966</v>
      </c>
      <c r="G58" s="40" t="s">
        <v>116</v>
      </c>
      <c r="H58" s="40">
        <v>17</v>
      </c>
      <c r="I58" s="40">
        <v>16</v>
      </c>
      <c r="J58" s="40" t="s">
        <v>42</v>
      </c>
    </row>
    <row r="59" spans="1:10" s="46" customFormat="1" ht="90" x14ac:dyDescent="0.25">
      <c r="A59" s="39">
        <v>44</v>
      </c>
      <c r="B59" s="41" t="s">
        <v>125</v>
      </c>
      <c r="C59" s="49" t="s">
        <v>127</v>
      </c>
      <c r="D59" s="40" t="s">
        <v>79</v>
      </c>
      <c r="E59" s="40" t="s">
        <v>40</v>
      </c>
      <c r="F59" s="42">
        <v>44960</v>
      </c>
      <c r="G59" s="40" t="s">
        <v>116</v>
      </c>
      <c r="H59" s="40">
        <v>17</v>
      </c>
      <c r="I59" s="40">
        <v>14</v>
      </c>
      <c r="J59" s="40" t="s">
        <v>42</v>
      </c>
    </row>
    <row r="60" spans="1:10" s="46" customFormat="1" ht="105" x14ac:dyDescent="0.25">
      <c r="A60" s="39">
        <v>45</v>
      </c>
      <c r="B60" s="41" t="s">
        <v>125</v>
      </c>
      <c r="C60" s="49" t="s">
        <v>128</v>
      </c>
      <c r="D60" s="40" t="s">
        <v>79</v>
      </c>
      <c r="E60" s="40" t="s">
        <v>40</v>
      </c>
      <c r="F60" s="40" t="s">
        <v>129</v>
      </c>
      <c r="G60" s="40" t="s">
        <v>116</v>
      </c>
      <c r="H60" s="40">
        <v>17</v>
      </c>
      <c r="I60" s="40">
        <v>14</v>
      </c>
      <c r="J60" s="40" t="s">
        <v>42</v>
      </c>
    </row>
    <row r="61" spans="1:10" s="46" customFormat="1" ht="45" x14ac:dyDescent="0.25">
      <c r="A61" s="41">
        <v>46</v>
      </c>
      <c r="B61" s="41" t="s">
        <v>125</v>
      </c>
      <c r="C61" s="49" t="s">
        <v>130</v>
      </c>
      <c r="D61" s="40" t="s">
        <v>79</v>
      </c>
      <c r="E61" s="40" t="s">
        <v>40</v>
      </c>
      <c r="F61" s="40" t="s">
        <v>131</v>
      </c>
      <c r="G61" s="40" t="s">
        <v>116</v>
      </c>
      <c r="H61" s="40">
        <v>17</v>
      </c>
      <c r="I61" s="40">
        <v>14</v>
      </c>
      <c r="J61" s="40" t="s">
        <v>42</v>
      </c>
    </row>
    <row r="62" spans="1:10" s="46" customFormat="1" ht="90" x14ac:dyDescent="0.25">
      <c r="A62" s="41"/>
      <c r="B62" s="41" t="s">
        <v>125</v>
      </c>
      <c r="C62" s="49" t="s">
        <v>557</v>
      </c>
      <c r="D62" s="40" t="s">
        <v>79</v>
      </c>
      <c r="E62" s="40" t="s">
        <v>40</v>
      </c>
      <c r="F62" s="40" t="s">
        <v>573</v>
      </c>
      <c r="G62" s="40" t="s">
        <v>116</v>
      </c>
      <c r="H62" s="40">
        <v>17</v>
      </c>
      <c r="I62" s="40">
        <v>14</v>
      </c>
      <c r="J62" s="40" t="s">
        <v>42</v>
      </c>
    </row>
    <row r="63" spans="1:10" s="46" customFormat="1" ht="75" x14ac:dyDescent="0.25">
      <c r="A63" s="41"/>
      <c r="B63" s="41" t="s">
        <v>125</v>
      </c>
      <c r="C63" s="49" t="s">
        <v>558</v>
      </c>
      <c r="D63" s="40" t="s">
        <v>79</v>
      </c>
      <c r="E63" s="40" t="s">
        <v>40</v>
      </c>
      <c r="F63" s="40" t="s">
        <v>574</v>
      </c>
      <c r="G63" s="40" t="s">
        <v>116</v>
      </c>
      <c r="H63" s="40">
        <v>17</v>
      </c>
      <c r="I63" s="40">
        <v>14</v>
      </c>
      <c r="J63" s="40" t="s">
        <v>42</v>
      </c>
    </row>
    <row r="64" spans="1:10" s="46" customFormat="1" ht="75" x14ac:dyDescent="0.25">
      <c r="A64" s="41"/>
      <c r="B64" s="41" t="s">
        <v>125</v>
      </c>
      <c r="C64" s="49" t="s">
        <v>559</v>
      </c>
      <c r="D64" s="40" t="s">
        <v>79</v>
      </c>
      <c r="E64" s="40" t="s">
        <v>40</v>
      </c>
      <c r="F64" s="40"/>
      <c r="G64" s="40" t="s">
        <v>116</v>
      </c>
      <c r="H64" s="40">
        <v>17</v>
      </c>
      <c r="I64" s="40">
        <v>14</v>
      </c>
      <c r="J64" s="40" t="s">
        <v>42</v>
      </c>
    </row>
    <row r="65" spans="1:10" s="46" customFormat="1" ht="30" x14ac:dyDescent="0.25">
      <c r="A65" s="39">
        <v>47</v>
      </c>
      <c r="B65" s="41" t="s">
        <v>132</v>
      </c>
      <c r="C65" s="49" t="s">
        <v>133</v>
      </c>
      <c r="D65" s="40" t="s">
        <v>88</v>
      </c>
      <c r="E65" s="40" t="s">
        <v>40</v>
      </c>
      <c r="F65" s="40" t="s">
        <v>134</v>
      </c>
      <c r="G65" s="40" t="s">
        <v>116</v>
      </c>
      <c r="H65" s="40">
        <v>13</v>
      </c>
      <c r="I65" s="40">
        <v>12</v>
      </c>
      <c r="J65" s="40" t="s">
        <v>135</v>
      </c>
    </row>
    <row r="66" spans="1:10" s="46" customFormat="1" ht="45" x14ac:dyDescent="0.25">
      <c r="A66" s="39">
        <v>48</v>
      </c>
      <c r="B66" s="41" t="s">
        <v>132</v>
      </c>
      <c r="C66" s="49" t="s">
        <v>136</v>
      </c>
      <c r="D66" s="40" t="s">
        <v>88</v>
      </c>
      <c r="E66" s="40" t="s">
        <v>40</v>
      </c>
      <c r="F66" s="40" t="s">
        <v>137</v>
      </c>
      <c r="G66" s="40" t="s">
        <v>116</v>
      </c>
      <c r="H66" s="40">
        <v>13</v>
      </c>
      <c r="I66" s="40">
        <v>12</v>
      </c>
      <c r="J66" s="40" t="s">
        <v>135</v>
      </c>
    </row>
    <row r="67" spans="1:10" s="46" customFormat="1" ht="30" x14ac:dyDescent="0.25">
      <c r="A67" s="41">
        <v>49</v>
      </c>
      <c r="B67" s="41" t="s">
        <v>132</v>
      </c>
      <c r="C67" s="49" t="s">
        <v>138</v>
      </c>
      <c r="D67" s="40" t="s">
        <v>88</v>
      </c>
      <c r="E67" s="40" t="s">
        <v>40</v>
      </c>
      <c r="F67" s="40" t="s">
        <v>139</v>
      </c>
      <c r="G67" s="40" t="s">
        <v>116</v>
      </c>
      <c r="H67" s="40">
        <v>13</v>
      </c>
      <c r="I67" s="40">
        <v>12</v>
      </c>
      <c r="J67" s="40" t="s">
        <v>135</v>
      </c>
    </row>
    <row r="68" spans="1:10" s="46" customFormat="1" ht="30" x14ac:dyDescent="0.25">
      <c r="A68" s="41"/>
      <c r="B68" s="41" t="s">
        <v>132</v>
      </c>
      <c r="C68" s="49" t="s">
        <v>560</v>
      </c>
      <c r="D68" s="40" t="s">
        <v>88</v>
      </c>
      <c r="E68" s="40" t="s">
        <v>40</v>
      </c>
      <c r="F68" s="40" t="s">
        <v>575</v>
      </c>
      <c r="G68" s="40" t="s">
        <v>116</v>
      </c>
      <c r="H68" s="40">
        <v>13</v>
      </c>
      <c r="I68" s="40">
        <v>12</v>
      </c>
      <c r="J68" s="40" t="s">
        <v>135</v>
      </c>
    </row>
    <row r="69" spans="1:10" s="46" customFormat="1" ht="45" x14ac:dyDescent="0.25">
      <c r="A69" s="41"/>
      <c r="B69" s="41" t="s">
        <v>132</v>
      </c>
      <c r="C69" s="49" t="s">
        <v>561</v>
      </c>
      <c r="D69" s="40" t="s">
        <v>88</v>
      </c>
      <c r="E69" s="40" t="s">
        <v>40</v>
      </c>
      <c r="F69" s="40" t="s">
        <v>576</v>
      </c>
      <c r="G69" s="40" t="s">
        <v>116</v>
      </c>
      <c r="H69" s="40">
        <v>13</v>
      </c>
      <c r="I69" s="40">
        <v>12</v>
      </c>
      <c r="J69" s="40" t="s">
        <v>135</v>
      </c>
    </row>
    <row r="70" spans="1:10" s="46" customFormat="1" ht="26.25" x14ac:dyDescent="0.25">
      <c r="A70" s="39">
        <v>50</v>
      </c>
      <c r="B70" s="41" t="s">
        <v>140</v>
      </c>
      <c r="C70" s="49" t="s">
        <v>141</v>
      </c>
      <c r="D70" s="40" t="s">
        <v>94</v>
      </c>
      <c r="E70" s="40" t="s">
        <v>40</v>
      </c>
      <c r="F70" s="40" t="s">
        <v>142</v>
      </c>
      <c r="G70" s="40" t="s">
        <v>116</v>
      </c>
      <c r="H70" s="40">
        <v>17</v>
      </c>
      <c r="I70" s="40">
        <v>17</v>
      </c>
      <c r="J70" s="40" t="s">
        <v>135</v>
      </c>
    </row>
    <row r="71" spans="1:10" s="46" customFormat="1" ht="45" x14ac:dyDescent="0.25">
      <c r="A71" s="39">
        <v>51</v>
      </c>
      <c r="B71" s="41" t="s">
        <v>140</v>
      </c>
      <c r="C71" s="49" t="s">
        <v>143</v>
      </c>
      <c r="D71" s="40" t="s">
        <v>94</v>
      </c>
      <c r="E71" s="40" t="s">
        <v>40</v>
      </c>
      <c r="F71" s="40" t="s">
        <v>144</v>
      </c>
      <c r="G71" s="40" t="s">
        <v>116</v>
      </c>
      <c r="H71" s="40">
        <v>17</v>
      </c>
      <c r="I71" s="40">
        <v>17</v>
      </c>
      <c r="J71" s="40" t="s">
        <v>135</v>
      </c>
    </row>
    <row r="72" spans="1:10" s="46" customFormat="1" ht="90" x14ac:dyDescent="0.25">
      <c r="A72" s="39"/>
      <c r="B72" s="41" t="s">
        <v>140</v>
      </c>
      <c r="C72" s="49" t="s">
        <v>562</v>
      </c>
      <c r="D72" s="40" t="s">
        <v>94</v>
      </c>
      <c r="E72" s="40" t="s">
        <v>40</v>
      </c>
      <c r="F72" s="40" t="s">
        <v>577</v>
      </c>
      <c r="G72" s="40" t="s">
        <v>116</v>
      </c>
      <c r="H72" s="40">
        <v>17</v>
      </c>
      <c r="I72" s="40">
        <v>17</v>
      </c>
      <c r="J72" s="40" t="s">
        <v>135</v>
      </c>
    </row>
    <row r="73" spans="1:10" s="46" customFormat="1" ht="30" x14ac:dyDescent="0.25">
      <c r="A73" s="39"/>
      <c r="B73" s="41" t="s">
        <v>140</v>
      </c>
      <c r="C73" s="49" t="s">
        <v>563</v>
      </c>
      <c r="D73" s="40" t="s">
        <v>94</v>
      </c>
      <c r="E73" s="40" t="s">
        <v>40</v>
      </c>
      <c r="F73" s="40" t="s">
        <v>578</v>
      </c>
      <c r="G73" s="40" t="s">
        <v>116</v>
      </c>
      <c r="H73" s="40">
        <v>17</v>
      </c>
      <c r="I73" s="40">
        <v>17</v>
      </c>
      <c r="J73" s="40" t="s">
        <v>135</v>
      </c>
    </row>
    <row r="74" spans="1:10" s="46" customFormat="1" ht="60" x14ac:dyDescent="0.25">
      <c r="A74" s="39"/>
      <c r="B74" s="41" t="s">
        <v>140</v>
      </c>
      <c r="C74" s="49" t="s">
        <v>564</v>
      </c>
      <c r="D74" s="40" t="s">
        <v>94</v>
      </c>
      <c r="E74" s="40" t="s">
        <v>40</v>
      </c>
      <c r="F74" s="40" t="s">
        <v>579</v>
      </c>
      <c r="G74" s="40" t="s">
        <v>116</v>
      </c>
      <c r="H74" s="40">
        <v>17</v>
      </c>
      <c r="I74" s="40">
        <v>17</v>
      </c>
      <c r="J74" s="40" t="s">
        <v>135</v>
      </c>
    </row>
    <row r="75" spans="1:10" s="46" customFormat="1" ht="26.25" x14ac:dyDescent="0.25">
      <c r="A75" s="41">
        <v>52</v>
      </c>
      <c r="B75" s="41" t="s">
        <v>145</v>
      </c>
      <c r="C75" s="49" t="s">
        <v>146</v>
      </c>
      <c r="D75" s="40" t="s">
        <v>94</v>
      </c>
      <c r="E75" s="40" t="s">
        <v>40</v>
      </c>
      <c r="F75" s="40" t="s">
        <v>147</v>
      </c>
      <c r="G75" s="40" t="s">
        <v>116</v>
      </c>
      <c r="H75" s="40">
        <v>7</v>
      </c>
      <c r="I75" s="40">
        <v>6</v>
      </c>
      <c r="J75" s="40" t="s">
        <v>135</v>
      </c>
    </row>
    <row r="76" spans="1:10" s="46" customFormat="1" ht="30" x14ac:dyDescent="0.25">
      <c r="A76" s="39">
        <v>53</v>
      </c>
      <c r="B76" s="41" t="s">
        <v>145</v>
      </c>
      <c r="C76" s="49" t="s">
        <v>148</v>
      </c>
      <c r="D76" s="40" t="s">
        <v>94</v>
      </c>
      <c r="E76" s="40" t="s">
        <v>40</v>
      </c>
      <c r="F76" s="40" t="s">
        <v>149</v>
      </c>
      <c r="G76" s="40" t="s">
        <v>116</v>
      </c>
      <c r="H76" s="40">
        <v>7</v>
      </c>
      <c r="I76" s="40">
        <v>6</v>
      </c>
      <c r="J76" s="40" t="s">
        <v>135</v>
      </c>
    </row>
    <row r="77" spans="1:10" s="46" customFormat="1" ht="30" x14ac:dyDescent="0.25">
      <c r="A77" s="39"/>
      <c r="B77" s="41" t="s">
        <v>145</v>
      </c>
      <c r="C77" s="49" t="s">
        <v>565</v>
      </c>
      <c r="D77" s="40" t="s">
        <v>94</v>
      </c>
      <c r="E77" s="40" t="s">
        <v>40</v>
      </c>
      <c r="F77" s="40" t="s">
        <v>580</v>
      </c>
      <c r="G77" s="40" t="s">
        <v>116</v>
      </c>
      <c r="H77" s="40">
        <v>7</v>
      </c>
      <c r="I77" s="40">
        <v>6</v>
      </c>
      <c r="J77" s="40" t="s">
        <v>135</v>
      </c>
    </row>
    <row r="78" spans="1:10" s="46" customFormat="1" ht="30" x14ac:dyDescent="0.25">
      <c r="A78" s="39"/>
      <c r="B78" s="41" t="s">
        <v>145</v>
      </c>
      <c r="C78" s="49" t="s">
        <v>566</v>
      </c>
      <c r="D78" s="40" t="s">
        <v>94</v>
      </c>
      <c r="E78" s="40" t="s">
        <v>40</v>
      </c>
      <c r="F78" s="40" t="s">
        <v>581</v>
      </c>
      <c r="G78" s="40" t="s">
        <v>116</v>
      </c>
      <c r="H78" s="40">
        <v>7</v>
      </c>
      <c r="I78" s="40">
        <v>6</v>
      </c>
      <c r="J78" s="40" t="s">
        <v>135</v>
      </c>
    </row>
    <row r="79" spans="1:10" s="46" customFormat="1" ht="45" x14ac:dyDescent="0.25">
      <c r="A79" s="39">
        <v>54</v>
      </c>
      <c r="B79" s="41" t="s">
        <v>150</v>
      </c>
      <c r="C79" s="49" t="s">
        <v>151</v>
      </c>
      <c r="D79" s="40" t="s">
        <v>94</v>
      </c>
      <c r="E79" s="40" t="s">
        <v>40</v>
      </c>
      <c r="F79" s="40" t="s">
        <v>152</v>
      </c>
      <c r="G79" s="40" t="s">
        <v>116</v>
      </c>
      <c r="H79" s="40">
        <v>10</v>
      </c>
      <c r="I79" s="40">
        <v>10</v>
      </c>
      <c r="J79" s="40" t="s">
        <v>135</v>
      </c>
    </row>
    <row r="80" spans="1:10" s="46" customFormat="1" ht="75" x14ac:dyDescent="0.25">
      <c r="A80" s="35">
        <v>55</v>
      </c>
      <c r="B80" s="41" t="s">
        <v>150</v>
      </c>
      <c r="C80" s="49" t="s">
        <v>153</v>
      </c>
      <c r="D80" s="40" t="s">
        <v>94</v>
      </c>
      <c r="E80" s="40" t="s">
        <v>40</v>
      </c>
      <c r="F80" s="40" t="s">
        <v>144</v>
      </c>
      <c r="G80" s="40" t="s">
        <v>116</v>
      </c>
      <c r="H80" s="40">
        <v>10</v>
      </c>
      <c r="I80" s="40">
        <v>10</v>
      </c>
      <c r="J80" s="40" t="s">
        <v>135</v>
      </c>
    </row>
    <row r="81" spans="1:10" s="46" customFormat="1" ht="30" x14ac:dyDescent="0.25">
      <c r="A81" s="35"/>
      <c r="B81" s="41" t="s">
        <v>150</v>
      </c>
      <c r="C81" s="49" t="s">
        <v>567</v>
      </c>
      <c r="D81" s="40" t="s">
        <v>94</v>
      </c>
      <c r="E81" s="40" t="s">
        <v>40</v>
      </c>
      <c r="F81" s="40" t="s">
        <v>582</v>
      </c>
      <c r="G81" s="40" t="s">
        <v>116</v>
      </c>
      <c r="H81" s="40">
        <v>10</v>
      </c>
      <c r="I81" s="40">
        <v>10</v>
      </c>
      <c r="J81" s="40" t="s">
        <v>135</v>
      </c>
    </row>
    <row r="82" spans="1:10" s="46" customFormat="1" ht="45" x14ac:dyDescent="0.25">
      <c r="A82" s="35"/>
      <c r="B82" s="41" t="s">
        <v>150</v>
      </c>
      <c r="C82" s="49" t="s">
        <v>568</v>
      </c>
      <c r="D82" s="40" t="s">
        <v>94</v>
      </c>
      <c r="E82" s="40" t="s">
        <v>40</v>
      </c>
      <c r="F82" s="40" t="s">
        <v>583</v>
      </c>
      <c r="G82" s="40" t="s">
        <v>116</v>
      </c>
      <c r="H82" s="40">
        <v>10</v>
      </c>
      <c r="I82" s="40">
        <v>10</v>
      </c>
      <c r="J82" s="40" t="s">
        <v>135</v>
      </c>
    </row>
    <row r="83" spans="1:10" s="46" customFormat="1" ht="15" customHeight="1" x14ac:dyDescent="0.2">
      <c r="A83" s="240">
        <v>56</v>
      </c>
      <c r="B83" s="212" t="s">
        <v>154</v>
      </c>
      <c r="C83" s="212" t="s">
        <v>155</v>
      </c>
      <c r="D83" s="212" t="s">
        <v>79</v>
      </c>
      <c r="E83" s="212" t="s">
        <v>40</v>
      </c>
      <c r="F83" s="50" t="s">
        <v>156</v>
      </c>
      <c r="G83" s="212" t="s">
        <v>157</v>
      </c>
      <c r="H83" s="212">
        <v>20</v>
      </c>
      <c r="I83" s="212">
        <v>18</v>
      </c>
      <c r="J83" s="212" t="s">
        <v>42</v>
      </c>
    </row>
    <row r="84" spans="1:10" s="46" customFormat="1" ht="15" customHeight="1" x14ac:dyDescent="0.2">
      <c r="A84" s="239"/>
      <c r="B84" s="200"/>
      <c r="C84" s="200"/>
      <c r="D84" s="200"/>
      <c r="E84" s="200"/>
      <c r="F84" s="42">
        <v>45109</v>
      </c>
      <c r="G84" s="200"/>
      <c r="H84" s="200"/>
      <c r="I84" s="200"/>
      <c r="J84" s="200"/>
    </row>
    <row r="85" spans="1:10" s="46" customFormat="1" ht="38.25" x14ac:dyDescent="0.2">
      <c r="A85" s="41">
        <v>58</v>
      </c>
      <c r="B85" s="41" t="s">
        <v>154</v>
      </c>
      <c r="C85" s="40" t="s">
        <v>158</v>
      </c>
      <c r="D85" s="40" t="s">
        <v>79</v>
      </c>
      <c r="E85" s="40" t="s">
        <v>40</v>
      </c>
      <c r="F85" s="40" t="s">
        <v>159</v>
      </c>
      <c r="G85" s="40" t="s">
        <v>157</v>
      </c>
      <c r="H85" s="40">
        <v>20</v>
      </c>
      <c r="I85" s="40">
        <v>18</v>
      </c>
      <c r="J85" s="40" t="s">
        <v>42</v>
      </c>
    </row>
    <row r="86" spans="1:10" s="46" customFormat="1" ht="26.25" x14ac:dyDescent="0.25">
      <c r="A86" s="39">
        <v>59</v>
      </c>
      <c r="B86" s="41" t="s">
        <v>154</v>
      </c>
      <c r="C86" s="40" t="s">
        <v>160</v>
      </c>
      <c r="D86" s="40" t="s">
        <v>79</v>
      </c>
      <c r="E86" s="40" t="s">
        <v>40</v>
      </c>
      <c r="F86" s="40" t="s">
        <v>161</v>
      </c>
      <c r="G86" s="40" t="s">
        <v>157</v>
      </c>
      <c r="H86" s="40">
        <v>20</v>
      </c>
      <c r="I86" s="40">
        <v>16</v>
      </c>
      <c r="J86" s="40" t="s">
        <v>42</v>
      </c>
    </row>
    <row r="87" spans="1:10" s="46" customFormat="1" ht="26.25" x14ac:dyDescent="0.25">
      <c r="A87" s="39">
        <v>60</v>
      </c>
      <c r="B87" s="41" t="s">
        <v>154</v>
      </c>
      <c r="C87" s="40" t="s">
        <v>162</v>
      </c>
      <c r="D87" s="40" t="s">
        <v>79</v>
      </c>
      <c r="E87" s="40" t="s">
        <v>40</v>
      </c>
      <c r="F87" s="40" t="s">
        <v>163</v>
      </c>
      <c r="G87" s="40" t="s">
        <v>157</v>
      </c>
      <c r="H87" s="40">
        <v>20</v>
      </c>
      <c r="I87" s="40">
        <v>16</v>
      </c>
      <c r="J87" s="40" t="s">
        <v>42</v>
      </c>
    </row>
    <row r="88" spans="1:10" s="46" customFormat="1" ht="30" customHeight="1" x14ac:dyDescent="0.2">
      <c r="A88" s="41">
        <v>61</v>
      </c>
      <c r="B88" s="41" t="s">
        <v>154</v>
      </c>
      <c r="C88" s="40" t="s">
        <v>164</v>
      </c>
      <c r="D88" s="40" t="s">
        <v>79</v>
      </c>
      <c r="E88" s="40" t="s">
        <v>40</v>
      </c>
      <c r="F88" s="40" t="s">
        <v>165</v>
      </c>
      <c r="G88" s="40" t="s">
        <v>157</v>
      </c>
      <c r="H88" s="40">
        <v>20</v>
      </c>
      <c r="I88" s="40">
        <v>16</v>
      </c>
      <c r="J88" s="40" t="s">
        <v>42</v>
      </c>
    </row>
    <row r="89" spans="1:10" s="46" customFormat="1" ht="26.25" x14ac:dyDescent="0.25">
      <c r="A89" s="39">
        <v>62</v>
      </c>
      <c r="B89" s="41" t="s">
        <v>166</v>
      </c>
      <c r="C89" s="43" t="s">
        <v>167</v>
      </c>
      <c r="D89" s="40" t="s">
        <v>168</v>
      </c>
      <c r="E89" s="40" t="s">
        <v>168</v>
      </c>
      <c r="F89" s="40" t="s">
        <v>169</v>
      </c>
      <c r="G89" s="40" t="s">
        <v>157</v>
      </c>
      <c r="H89" s="40">
        <v>20</v>
      </c>
      <c r="I89" s="40">
        <v>10</v>
      </c>
      <c r="J89" s="40" t="s">
        <v>42</v>
      </c>
    </row>
    <row r="90" spans="1:10" s="46" customFormat="1" ht="26.25" x14ac:dyDescent="0.25">
      <c r="A90" s="39">
        <v>63</v>
      </c>
      <c r="B90" s="41" t="s">
        <v>166</v>
      </c>
      <c r="C90" s="40" t="s">
        <v>170</v>
      </c>
      <c r="D90" s="40" t="s">
        <v>88</v>
      </c>
      <c r="E90" s="40" t="s">
        <v>40</v>
      </c>
      <c r="F90" s="40" t="s">
        <v>171</v>
      </c>
      <c r="G90" s="40" t="s">
        <v>157</v>
      </c>
      <c r="H90" s="40">
        <v>20</v>
      </c>
      <c r="I90" s="40">
        <v>8</v>
      </c>
      <c r="J90" s="40" t="s">
        <v>42</v>
      </c>
    </row>
    <row r="91" spans="1:10" s="46" customFormat="1" ht="51" x14ac:dyDescent="0.2">
      <c r="A91" s="41">
        <v>64</v>
      </c>
      <c r="B91" s="41" t="s">
        <v>166</v>
      </c>
      <c r="C91" s="40" t="s">
        <v>172</v>
      </c>
      <c r="D91" s="40" t="s">
        <v>88</v>
      </c>
      <c r="E91" s="40" t="s">
        <v>40</v>
      </c>
      <c r="F91" s="40" t="s">
        <v>173</v>
      </c>
      <c r="G91" s="40" t="s">
        <v>157</v>
      </c>
      <c r="H91" s="40">
        <v>20</v>
      </c>
      <c r="I91" s="40">
        <v>10</v>
      </c>
      <c r="J91" s="40" t="s">
        <v>42</v>
      </c>
    </row>
    <row r="92" spans="1:10" s="46" customFormat="1" x14ac:dyDescent="0.25">
      <c r="A92" s="39">
        <v>65</v>
      </c>
      <c r="B92" s="41" t="s">
        <v>166</v>
      </c>
      <c r="C92" s="40" t="s">
        <v>174</v>
      </c>
      <c r="D92" s="40" t="s">
        <v>88</v>
      </c>
      <c r="E92" s="40" t="s">
        <v>40</v>
      </c>
      <c r="F92" s="40" t="s">
        <v>175</v>
      </c>
      <c r="G92" s="40" t="s">
        <v>157</v>
      </c>
      <c r="H92" s="40">
        <v>20</v>
      </c>
      <c r="I92" s="40">
        <v>9</v>
      </c>
      <c r="J92" s="40" t="s">
        <v>42</v>
      </c>
    </row>
    <row r="93" spans="1:10" s="46" customFormat="1" ht="26.25" x14ac:dyDescent="0.25">
      <c r="A93" s="39">
        <v>66</v>
      </c>
      <c r="B93" s="41" t="s">
        <v>166</v>
      </c>
      <c r="C93" s="40" t="s">
        <v>176</v>
      </c>
      <c r="D93" s="40" t="s">
        <v>88</v>
      </c>
      <c r="E93" s="40" t="s">
        <v>40</v>
      </c>
      <c r="F93" s="40" t="s">
        <v>177</v>
      </c>
      <c r="G93" s="40" t="s">
        <v>157</v>
      </c>
      <c r="H93" s="40">
        <v>20</v>
      </c>
      <c r="I93" s="40">
        <v>11</v>
      </c>
      <c r="J93" s="40" t="s">
        <v>42</v>
      </c>
    </row>
    <row r="94" spans="1:10" s="46" customFormat="1" ht="25.5" x14ac:dyDescent="0.2">
      <c r="A94" s="41">
        <v>67</v>
      </c>
      <c r="B94" s="41" t="s">
        <v>166</v>
      </c>
      <c r="C94" s="40" t="s">
        <v>178</v>
      </c>
      <c r="D94" s="40" t="s">
        <v>88</v>
      </c>
      <c r="E94" s="40" t="s">
        <v>40</v>
      </c>
      <c r="F94" s="40" t="s">
        <v>179</v>
      </c>
      <c r="G94" s="40" t="s">
        <v>157</v>
      </c>
      <c r="H94" s="40">
        <v>20</v>
      </c>
      <c r="I94" s="40">
        <v>5</v>
      </c>
      <c r="J94" s="40" t="s">
        <v>42</v>
      </c>
    </row>
    <row r="95" spans="1:10" s="46" customFormat="1" ht="26.25" x14ac:dyDescent="0.25">
      <c r="A95" s="39">
        <v>68</v>
      </c>
      <c r="B95" s="199" t="s">
        <v>166</v>
      </c>
      <c r="C95" s="51" t="s">
        <v>180</v>
      </c>
      <c r="D95" s="199" t="s">
        <v>88</v>
      </c>
      <c r="E95" s="199" t="s">
        <v>40</v>
      </c>
      <c r="F95" s="199" t="s">
        <v>181</v>
      </c>
      <c r="G95" s="199" t="s">
        <v>157</v>
      </c>
      <c r="H95" s="199">
        <v>20</v>
      </c>
      <c r="I95" s="199">
        <v>5</v>
      </c>
      <c r="J95" s="199" t="s">
        <v>42</v>
      </c>
    </row>
    <row r="96" spans="1:10" s="46" customFormat="1" x14ac:dyDescent="0.25">
      <c r="A96" s="39">
        <v>69</v>
      </c>
      <c r="B96" s="200"/>
      <c r="C96" s="40" t="s">
        <v>182</v>
      </c>
      <c r="D96" s="200"/>
      <c r="E96" s="200"/>
      <c r="F96" s="200"/>
      <c r="G96" s="200"/>
      <c r="H96" s="200"/>
      <c r="I96" s="200"/>
      <c r="J96" s="200"/>
    </row>
    <row r="97" spans="1:10" s="46" customFormat="1" ht="12.75" x14ac:dyDescent="0.2">
      <c r="A97" s="41">
        <v>70</v>
      </c>
      <c r="B97" s="35" t="s">
        <v>183</v>
      </c>
      <c r="C97" s="36" t="s">
        <v>184</v>
      </c>
      <c r="D97" s="36" t="s">
        <v>94</v>
      </c>
      <c r="E97" s="36" t="s">
        <v>185</v>
      </c>
      <c r="F97" s="37">
        <v>44956</v>
      </c>
      <c r="G97" s="36" t="s">
        <v>186</v>
      </c>
      <c r="H97" s="36">
        <v>19</v>
      </c>
      <c r="I97" s="36">
        <v>18</v>
      </c>
      <c r="J97" s="36" t="s">
        <v>81</v>
      </c>
    </row>
    <row r="98" spans="1:10" s="46" customFormat="1" x14ac:dyDescent="0.25">
      <c r="A98" s="39">
        <v>71</v>
      </c>
      <c r="B98" s="41" t="s">
        <v>183</v>
      </c>
      <c r="C98" s="40" t="s">
        <v>187</v>
      </c>
      <c r="D98" s="40" t="s">
        <v>94</v>
      </c>
      <c r="E98" s="40" t="s">
        <v>185</v>
      </c>
      <c r="F98" s="42">
        <v>44956</v>
      </c>
      <c r="G98" s="40" t="s">
        <v>186</v>
      </c>
      <c r="H98" s="40">
        <v>19</v>
      </c>
      <c r="I98" s="40">
        <v>18</v>
      </c>
      <c r="J98" s="40" t="s">
        <v>81</v>
      </c>
    </row>
    <row r="99" spans="1:10" s="46" customFormat="1" x14ac:dyDescent="0.25">
      <c r="A99" s="39">
        <v>72</v>
      </c>
      <c r="B99" s="41" t="s">
        <v>183</v>
      </c>
      <c r="C99" s="52" t="s">
        <v>188</v>
      </c>
      <c r="D99" s="41" t="s">
        <v>94</v>
      </c>
      <c r="E99" s="40" t="s">
        <v>185</v>
      </c>
      <c r="F99" s="42">
        <v>44970</v>
      </c>
      <c r="G99" s="40" t="s">
        <v>186</v>
      </c>
      <c r="H99" s="40">
        <v>19</v>
      </c>
      <c r="I99" s="40">
        <v>18</v>
      </c>
      <c r="J99" s="40" t="s">
        <v>81</v>
      </c>
    </row>
    <row r="100" spans="1:10" s="46" customFormat="1" ht="12.75" x14ac:dyDescent="0.2">
      <c r="A100" s="35">
        <v>73</v>
      </c>
      <c r="B100" s="41" t="s">
        <v>183</v>
      </c>
      <c r="C100" s="36" t="s">
        <v>189</v>
      </c>
      <c r="D100" s="40" t="s">
        <v>94</v>
      </c>
      <c r="E100" s="40" t="s">
        <v>185</v>
      </c>
      <c r="F100" s="42">
        <v>44970</v>
      </c>
      <c r="G100" s="40" t="s">
        <v>186</v>
      </c>
      <c r="H100" s="40">
        <v>19</v>
      </c>
      <c r="I100" s="40">
        <v>18</v>
      </c>
      <c r="J100" s="40" t="s">
        <v>81</v>
      </c>
    </row>
    <row r="101" spans="1:10" s="46" customFormat="1" x14ac:dyDescent="0.25">
      <c r="A101" s="39">
        <v>74</v>
      </c>
      <c r="B101" s="41" t="s">
        <v>183</v>
      </c>
      <c r="C101" s="40" t="s">
        <v>190</v>
      </c>
      <c r="D101" s="40" t="s">
        <v>94</v>
      </c>
      <c r="E101" s="40" t="s">
        <v>185</v>
      </c>
      <c r="F101" s="42">
        <v>44977</v>
      </c>
      <c r="G101" s="40" t="s">
        <v>186</v>
      </c>
      <c r="H101" s="40">
        <v>19</v>
      </c>
      <c r="I101" s="40">
        <v>18</v>
      </c>
      <c r="J101" s="40" t="s">
        <v>81</v>
      </c>
    </row>
    <row r="102" spans="1:10" s="46" customFormat="1" x14ac:dyDescent="0.25">
      <c r="A102" s="39">
        <v>75</v>
      </c>
      <c r="B102" s="41" t="s">
        <v>183</v>
      </c>
      <c r="C102" s="40" t="s">
        <v>191</v>
      </c>
      <c r="D102" s="40" t="s">
        <v>94</v>
      </c>
      <c r="E102" s="40" t="s">
        <v>185</v>
      </c>
      <c r="F102" s="42">
        <v>44977</v>
      </c>
      <c r="G102" s="40" t="s">
        <v>186</v>
      </c>
      <c r="H102" s="40">
        <v>19</v>
      </c>
      <c r="I102" s="40">
        <v>18</v>
      </c>
      <c r="J102" s="40" t="s">
        <v>81</v>
      </c>
    </row>
    <row r="103" spans="1:10" s="46" customFormat="1" ht="12.75" x14ac:dyDescent="0.2">
      <c r="A103" s="41">
        <v>76</v>
      </c>
      <c r="B103" s="41" t="s">
        <v>183</v>
      </c>
      <c r="C103" s="52" t="s">
        <v>192</v>
      </c>
      <c r="D103" s="41" t="s">
        <v>94</v>
      </c>
      <c r="E103" s="40" t="s">
        <v>185</v>
      </c>
      <c r="F103" s="42">
        <v>44984</v>
      </c>
      <c r="G103" s="40" t="s">
        <v>186</v>
      </c>
      <c r="H103" s="40">
        <v>19</v>
      </c>
      <c r="I103" s="40">
        <v>18</v>
      </c>
      <c r="J103" s="40" t="s">
        <v>81</v>
      </c>
    </row>
    <row r="104" spans="1:10" s="46" customFormat="1" ht="26.25" x14ac:dyDescent="0.25">
      <c r="A104" s="39">
        <v>77</v>
      </c>
      <c r="B104" s="41" t="s">
        <v>183</v>
      </c>
      <c r="C104" s="36" t="s">
        <v>193</v>
      </c>
      <c r="D104" s="40" t="s">
        <v>94</v>
      </c>
      <c r="E104" s="40" t="s">
        <v>185</v>
      </c>
      <c r="F104" s="42">
        <v>44984</v>
      </c>
      <c r="G104" s="40" t="s">
        <v>186</v>
      </c>
      <c r="H104" s="40">
        <v>19</v>
      </c>
      <c r="I104" s="40">
        <v>18</v>
      </c>
      <c r="J104" s="40" t="s">
        <v>81</v>
      </c>
    </row>
    <row r="105" spans="1:10" s="46" customFormat="1" x14ac:dyDescent="0.25">
      <c r="A105" s="39">
        <v>78</v>
      </c>
      <c r="B105" s="41" t="s">
        <v>183</v>
      </c>
      <c r="C105" s="40" t="s">
        <v>194</v>
      </c>
      <c r="D105" s="40" t="s">
        <v>94</v>
      </c>
      <c r="E105" s="40" t="s">
        <v>185</v>
      </c>
      <c r="F105" s="42">
        <v>44991</v>
      </c>
      <c r="G105" s="40" t="s">
        <v>186</v>
      </c>
      <c r="H105" s="40">
        <v>19</v>
      </c>
      <c r="I105" s="40">
        <v>18</v>
      </c>
      <c r="J105" s="40" t="s">
        <v>81</v>
      </c>
    </row>
    <row r="106" spans="1:10" s="46" customFormat="1" ht="12.75" x14ac:dyDescent="0.2">
      <c r="A106" s="41">
        <v>79</v>
      </c>
      <c r="B106" s="41" t="s">
        <v>183</v>
      </c>
      <c r="C106" s="40" t="s">
        <v>195</v>
      </c>
      <c r="D106" s="40" t="s">
        <v>94</v>
      </c>
      <c r="E106" s="40" t="s">
        <v>185</v>
      </c>
      <c r="F106" s="42">
        <v>44991</v>
      </c>
      <c r="G106" s="40" t="s">
        <v>186</v>
      </c>
      <c r="H106" s="40">
        <v>19</v>
      </c>
      <c r="I106" s="40">
        <v>18</v>
      </c>
      <c r="J106" s="40" t="s">
        <v>81</v>
      </c>
    </row>
    <row r="107" spans="1:10" s="46" customFormat="1" x14ac:dyDescent="0.25">
      <c r="A107" s="39">
        <v>80</v>
      </c>
      <c r="B107" s="41" t="s">
        <v>183</v>
      </c>
      <c r="C107" s="40" t="s">
        <v>196</v>
      </c>
      <c r="D107" s="40" t="s">
        <v>94</v>
      </c>
      <c r="E107" s="40" t="s">
        <v>185</v>
      </c>
      <c r="F107" s="42">
        <v>44998</v>
      </c>
      <c r="G107" s="40" t="s">
        <v>186</v>
      </c>
      <c r="H107" s="40">
        <v>19</v>
      </c>
      <c r="I107" s="40">
        <v>18</v>
      </c>
      <c r="J107" s="40" t="s">
        <v>81</v>
      </c>
    </row>
    <row r="108" spans="1:10" s="46" customFormat="1" x14ac:dyDescent="0.25">
      <c r="A108" s="39">
        <v>81</v>
      </c>
      <c r="B108" s="41" t="s">
        <v>183</v>
      </c>
      <c r="C108" s="40" t="s">
        <v>197</v>
      </c>
      <c r="D108" s="40" t="s">
        <v>94</v>
      </c>
      <c r="E108" s="40" t="s">
        <v>185</v>
      </c>
      <c r="F108" s="42">
        <v>44998</v>
      </c>
      <c r="G108" s="40" t="s">
        <v>186</v>
      </c>
      <c r="H108" s="40">
        <v>19</v>
      </c>
      <c r="I108" s="40">
        <v>18</v>
      </c>
      <c r="J108" s="40" t="s">
        <v>81</v>
      </c>
    </row>
    <row r="109" spans="1:10" s="46" customFormat="1" ht="12.75" x14ac:dyDescent="0.2">
      <c r="A109" s="41">
        <v>82</v>
      </c>
      <c r="B109" s="41" t="s">
        <v>198</v>
      </c>
      <c r="C109" s="40" t="s">
        <v>199</v>
      </c>
      <c r="D109" s="40" t="s">
        <v>88</v>
      </c>
      <c r="E109" s="40" t="s">
        <v>185</v>
      </c>
      <c r="F109" s="42">
        <v>44960</v>
      </c>
      <c r="G109" s="40" t="s">
        <v>186</v>
      </c>
      <c r="H109" s="40">
        <v>13</v>
      </c>
      <c r="I109" s="40">
        <v>13</v>
      </c>
      <c r="J109" s="40" t="s">
        <v>81</v>
      </c>
    </row>
    <row r="110" spans="1:10" s="46" customFormat="1" ht="26.25" x14ac:dyDescent="0.25">
      <c r="A110" s="39">
        <v>83</v>
      </c>
      <c r="B110" s="41" t="s">
        <v>198</v>
      </c>
      <c r="C110" s="40" t="s">
        <v>200</v>
      </c>
      <c r="D110" s="40" t="s">
        <v>88</v>
      </c>
      <c r="E110" s="40" t="s">
        <v>185</v>
      </c>
      <c r="F110" s="42">
        <v>44967</v>
      </c>
      <c r="G110" s="40" t="s">
        <v>186</v>
      </c>
      <c r="H110" s="40">
        <v>13</v>
      </c>
      <c r="I110" s="40">
        <v>13</v>
      </c>
      <c r="J110" s="40" t="s">
        <v>81</v>
      </c>
    </row>
    <row r="111" spans="1:10" s="46" customFormat="1" x14ac:dyDescent="0.25">
      <c r="A111" s="39">
        <v>84</v>
      </c>
      <c r="B111" s="41" t="s">
        <v>198</v>
      </c>
      <c r="C111" s="40" t="s">
        <v>201</v>
      </c>
      <c r="D111" s="40" t="s">
        <v>88</v>
      </c>
      <c r="E111" s="40" t="s">
        <v>185</v>
      </c>
      <c r="F111" s="42">
        <v>44974</v>
      </c>
      <c r="G111" s="40" t="s">
        <v>186</v>
      </c>
      <c r="H111" s="40">
        <v>13</v>
      </c>
      <c r="I111" s="40">
        <v>13</v>
      </c>
      <c r="J111" s="40" t="s">
        <v>81</v>
      </c>
    </row>
    <row r="112" spans="1:10" s="46" customFormat="1" ht="25.5" x14ac:dyDescent="0.2">
      <c r="A112" s="41">
        <v>85</v>
      </c>
      <c r="B112" s="41" t="s">
        <v>198</v>
      </c>
      <c r="C112" s="40" t="s">
        <v>202</v>
      </c>
      <c r="D112" s="40" t="s">
        <v>88</v>
      </c>
      <c r="E112" s="40" t="s">
        <v>185</v>
      </c>
      <c r="F112" s="42">
        <v>44981</v>
      </c>
      <c r="G112" s="40" t="s">
        <v>186</v>
      </c>
      <c r="H112" s="40">
        <v>13</v>
      </c>
      <c r="I112" s="40">
        <v>13</v>
      </c>
      <c r="J112" s="40" t="s">
        <v>81</v>
      </c>
    </row>
    <row r="113" spans="1:10" s="46" customFormat="1" x14ac:dyDescent="0.25">
      <c r="A113" s="39">
        <v>86</v>
      </c>
      <c r="B113" s="41" t="s">
        <v>198</v>
      </c>
      <c r="C113" s="40" t="s">
        <v>203</v>
      </c>
      <c r="D113" s="40" t="s">
        <v>88</v>
      </c>
      <c r="E113" s="40" t="s">
        <v>185</v>
      </c>
      <c r="F113" s="42">
        <v>44988</v>
      </c>
      <c r="G113" s="40" t="s">
        <v>186</v>
      </c>
      <c r="H113" s="40">
        <v>13</v>
      </c>
      <c r="I113" s="40">
        <v>13</v>
      </c>
      <c r="J113" s="40" t="s">
        <v>81</v>
      </c>
    </row>
    <row r="114" spans="1:10" s="46" customFormat="1" ht="30" customHeight="1" x14ac:dyDescent="0.25">
      <c r="A114" s="39">
        <v>87</v>
      </c>
      <c r="B114" s="41" t="s">
        <v>198</v>
      </c>
      <c r="C114" s="40" t="s">
        <v>204</v>
      </c>
      <c r="D114" s="40" t="s">
        <v>88</v>
      </c>
      <c r="E114" s="40" t="s">
        <v>185</v>
      </c>
      <c r="F114" s="42">
        <v>44995</v>
      </c>
      <c r="G114" s="40" t="s">
        <v>186</v>
      </c>
      <c r="H114" s="40">
        <v>13</v>
      </c>
      <c r="I114" s="40">
        <v>13</v>
      </c>
      <c r="J114" s="40" t="s">
        <v>81</v>
      </c>
    </row>
    <row r="115" spans="1:10" s="46" customFormat="1" ht="12.75" x14ac:dyDescent="0.2">
      <c r="A115" s="41">
        <v>88</v>
      </c>
      <c r="B115" s="41" t="s">
        <v>198</v>
      </c>
      <c r="C115" s="40" t="s">
        <v>205</v>
      </c>
      <c r="D115" s="40" t="s">
        <v>88</v>
      </c>
      <c r="E115" s="40" t="s">
        <v>185</v>
      </c>
      <c r="F115" s="42">
        <v>45002</v>
      </c>
      <c r="G115" s="40" t="s">
        <v>186</v>
      </c>
      <c r="H115" s="40">
        <v>13</v>
      </c>
      <c r="I115" s="40">
        <v>13</v>
      </c>
      <c r="J115" s="40" t="s">
        <v>81</v>
      </c>
    </row>
    <row r="116" spans="1:10" s="46" customFormat="1" x14ac:dyDescent="0.25">
      <c r="A116" s="39">
        <v>89</v>
      </c>
      <c r="B116" s="41" t="s">
        <v>198</v>
      </c>
      <c r="C116" s="40" t="s">
        <v>206</v>
      </c>
      <c r="D116" s="40" t="s">
        <v>88</v>
      </c>
      <c r="E116" s="40" t="s">
        <v>185</v>
      </c>
      <c r="F116" s="42">
        <v>45002</v>
      </c>
      <c r="G116" s="40" t="s">
        <v>186</v>
      </c>
      <c r="H116" s="40">
        <v>13</v>
      </c>
      <c r="I116" s="40">
        <v>13</v>
      </c>
      <c r="J116" s="40" t="s">
        <v>81</v>
      </c>
    </row>
    <row r="117" spans="1:10" s="46" customFormat="1" x14ac:dyDescent="0.25">
      <c r="A117" s="39">
        <v>90</v>
      </c>
      <c r="B117" s="41" t="s">
        <v>207</v>
      </c>
      <c r="C117" s="40" t="s">
        <v>208</v>
      </c>
      <c r="D117" s="40" t="s">
        <v>79</v>
      </c>
      <c r="E117" s="40" t="s">
        <v>185</v>
      </c>
      <c r="F117" s="42">
        <v>44958</v>
      </c>
      <c r="G117" s="40" t="s">
        <v>186</v>
      </c>
      <c r="H117" s="40">
        <v>21</v>
      </c>
      <c r="I117" s="40">
        <v>18</v>
      </c>
      <c r="J117" s="40" t="s">
        <v>81</v>
      </c>
    </row>
    <row r="118" spans="1:10" s="46" customFormat="1" ht="12.75" x14ac:dyDescent="0.2">
      <c r="A118" s="35">
        <v>91</v>
      </c>
      <c r="B118" s="41" t="s">
        <v>207</v>
      </c>
      <c r="C118" s="40" t="s">
        <v>209</v>
      </c>
      <c r="D118" s="40" t="s">
        <v>79</v>
      </c>
      <c r="E118" s="40" t="s">
        <v>185</v>
      </c>
      <c r="F118" s="40" t="s">
        <v>210</v>
      </c>
      <c r="G118" s="40" t="s">
        <v>186</v>
      </c>
      <c r="H118" s="40">
        <v>21</v>
      </c>
      <c r="I118" s="40">
        <v>18</v>
      </c>
      <c r="J118" s="40" t="s">
        <v>81</v>
      </c>
    </row>
    <row r="119" spans="1:10" s="46" customFormat="1" x14ac:dyDescent="0.25">
      <c r="A119" s="39">
        <v>92</v>
      </c>
      <c r="B119" s="41" t="s">
        <v>207</v>
      </c>
      <c r="C119" s="40" t="s">
        <v>211</v>
      </c>
      <c r="D119" s="40" t="s">
        <v>79</v>
      </c>
      <c r="E119" s="40" t="s">
        <v>185</v>
      </c>
      <c r="F119" s="40" t="s">
        <v>212</v>
      </c>
      <c r="G119" s="40" t="s">
        <v>186</v>
      </c>
      <c r="H119" s="40">
        <v>21</v>
      </c>
      <c r="I119" s="40">
        <v>18</v>
      </c>
      <c r="J119" s="40" t="s">
        <v>81</v>
      </c>
    </row>
    <row r="120" spans="1:10" s="46" customFormat="1" x14ac:dyDescent="0.25">
      <c r="A120" s="39">
        <v>93</v>
      </c>
      <c r="B120" s="41" t="s">
        <v>207</v>
      </c>
      <c r="C120" s="40" t="s">
        <v>213</v>
      </c>
      <c r="D120" s="40" t="s">
        <v>79</v>
      </c>
      <c r="E120" s="40" t="s">
        <v>185</v>
      </c>
      <c r="F120" s="42">
        <v>44979</v>
      </c>
      <c r="G120" s="40" t="s">
        <v>186</v>
      </c>
      <c r="H120" s="40">
        <v>21</v>
      </c>
      <c r="I120" s="40">
        <v>18</v>
      </c>
      <c r="J120" s="40" t="s">
        <v>81</v>
      </c>
    </row>
    <row r="121" spans="1:10" s="46" customFormat="1" ht="12.75" x14ac:dyDescent="0.2">
      <c r="A121" s="41">
        <v>94</v>
      </c>
      <c r="B121" s="41" t="s">
        <v>207</v>
      </c>
      <c r="C121" s="40" t="s">
        <v>214</v>
      </c>
      <c r="D121" s="40" t="s">
        <v>79</v>
      </c>
      <c r="E121" s="40" t="s">
        <v>185</v>
      </c>
      <c r="F121" s="42">
        <v>44974</v>
      </c>
      <c r="G121" s="40" t="s">
        <v>186</v>
      </c>
      <c r="H121" s="40">
        <v>21</v>
      </c>
      <c r="I121" s="40">
        <v>18</v>
      </c>
      <c r="J121" s="40" t="s">
        <v>81</v>
      </c>
    </row>
    <row r="122" spans="1:10" s="46" customFormat="1" x14ac:dyDescent="0.25">
      <c r="A122" s="39">
        <v>95</v>
      </c>
      <c r="B122" s="41" t="s">
        <v>207</v>
      </c>
      <c r="C122" s="40" t="s">
        <v>215</v>
      </c>
      <c r="D122" s="40" t="s">
        <v>79</v>
      </c>
      <c r="E122" s="40" t="s">
        <v>185</v>
      </c>
      <c r="F122" s="40" t="s">
        <v>216</v>
      </c>
      <c r="G122" s="40" t="s">
        <v>186</v>
      </c>
      <c r="H122" s="40">
        <v>21</v>
      </c>
      <c r="I122" s="40">
        <v>18</v>
      </c>
      <c r="J122" s="40" t="s">
        <v>81</v>
      </c>
    </row>
    <row r="123" spans="1:10" s="46" customFormat="1" x14ac:dyDescent="0.25">
      <c r="A123" s="39">
        <v>96</v>
      </c>
      <c r="B123" s="41" t="s">
        <v>207</v>
      </c>
      <c r="C123" s="40" t="s">
        <v>217</v>
      </c>
      <c r="D123" s="40" t="s">
        <v>79</v>
      </c>
      <c r="E123" s="40" t="s">
        <v>185</v>
      </c>
      <c r="F123" s="40" t="s">
        <v>218</v>
      </c>
      <c r="G123" s="40" t="s">
        <v>186</v>
      </c>
      <c r="H123" s="40">
        <v>21</v>
      </c>
      <c r="I123" s="40">
        <v>18</v>
      </c>
      <c r="J123" s="40" t="s">
        <v>81</v>
      </c>
    </row>
    <row r="124" spans="1:10" s="46" customFormat="1" ht="12.75" x14ac:dyDescent="0.2">
      <c r="A124" s="41">
        <v>97</v>
      </c>
      <c r="B124" s="41" t="s">
        <v>207</v>
      </c>
      <c r="C124" s="40" t="s">
        <v>219</v>
      </c>
      <c r="D124" s="40" t="s">
        <v>79</v>
      </c>
      <c r="E124" s="40" t="s">
        <v>185</v>
      </c>
      <c r="F124" s="40" t="s">
        <v>220</v>
      </c>
      <c r="G124" s="40" t="s">
        <v>186</v>
      </c>
      <c r="H124" s="40">
        <v>21</v>
      </c>
      <c r="I124" s="40">
        <v>18</v>
      </c>
      <c r="J124" s="40" t="s">
        <v>81</v>
      </c>
    </row>
    <row r="125" spans="1:10" s="46" customFormat="1" x14ac:dyDescent="0.25">
      <c r="A125" s="39">
        <v>98</v>
      </c>
      <c r="B125" s="41" t="s">
        <v>207</v>
      </c>
      <c r="C125" s="40" t="s">
        <v>221</v>
      </c>
      <c r="D125" s="40" t="s">
        <v>79</v>
      </c>
      <c r="E125" s="40" t="s">
        <v>185</v>
      </c>
      <c r="F125" s="40" t="s">
        <v>222</v>
      </c>
      <c r="G125" s="40" t="s">
        <v>186</v>
      </c>
      <c r="H125" s="40">
        <v>21</v>
      </c>
      <c r="I125" s="40">
        <v>18</v>
      </c>
      <c r="J125" s="40" t="s">
        <v>81</v>
      </c>
    </row>
    <row r="126" spans="1:10" s="46" customFormat="1" x14ac:dyDescent="0.25">
      <c r="A126" s="39">
        <v>99</v>
      </c>
      <c r="B126" s="41" t="s">
        <v>207</v>
      </c>
      <c r="C126" s="40" t="s">
        <v>223</v>
      </c>
      <c r="D126" s="40" t="s">
        <v>79</v>
      </c>
      <c r="E126" s="40" t="s">
        <v>185</v>
      </c>
      <c r="F126" s="42">
        <v>45007</v>
      </c>
      <c r="G126" s="40" t="s">
        <v>186</v>
      </c>
      <c r="H126" s="40">
        <v>21</v>
      </c>
      <c r="I126" s="40">
        <v>18</v>
      </c>
      <c r="J126" s="40" t="s">
        <v>81</v>
      </c>
    </row>
    <row r="127" spans="1:10" s="46" customFormat="1" ht="12.75" x14ac:dyDescent="0.2">
      <c r="A127" s="41">
        <v>100</v>
      </c>
      <c r="B127" s="41" t="s">
        <v>207</v>
      </c>
      <c r="C127" s="40" t="s">
        <v>224</v>
      </c>
      <c r="D127" s="40" t="s">
        <v>79</v>
      </c>
      <c r="E127" s="40" t="s">
        <v>185</v>
      </c>
      <c r="F127" s="42">
        <v>45009</v>
      </c>
      <c r="G127" s="40" t="s">
        <v>186</v>
      </c>
      <c r="H127" s="40">
        <v>21</v>
      </c>
      <c r="I127" s="40">
        <v>18</v>
      </c>
      <c r="J127" s="40" t="s">
        <v>81</v>
      </c>
    </row>
    <row r="128" spans="1:10" s="46" customFormat="1" x14ac:dyDescent="0.25">
      <c r="A128" s="39">
        <v>101</v>
      </c>
      <c r="B128" s="35" t="s">
        <v>225</v>
      </c>
      <c r="C128" s="36" t="s">
        <v>226</v>
      </c>
      <c r="D128" s="36">
        <v>6</v>
      </c>
      <c r="E128" s="36" t="s">
        <v>40</v>
      </c>
      <c r="F128" s="37">
        <v>44960</v>
      </c>
      <c r="G128" s="36" t="s">
        <v>227</v>
      </c>
      <c r="H128" s="36">
        <v>11</v>
      </c>
      <c r="I128" s="36">
        <v>10</v>
      </c>
      <c r="J128" s="36" t="s">
        <v>228</v>
      </c>
    </row>
    <row r="129" spans="1:10" s="46" customFormat="1" ht="26.25" x14ac:dyDescent="0.25">
      <c r="A129" s="39">
        <v>102</v>
      </c>
      <c r="B129" s="41" t="s">
        <v>229</v>
      </c>
      <c r="C129" s="40" t="s">
        <v>230</v>
      </c>
      <c r="D129" s="40">
        <v>8</v>
      </c>
      <c r="E129" s="40" t="s">
        <v>40</v>
      </c>
      <c r="F129" s="42">
        <v>44963</v>
      </c>
      <c r="G129" s="40" t="s">
        <v>227</v>
      </c>
      <c r="H129" s="40">
        <v>7</v>
      </c>
      <c r="I129" s="40">
        <v>7</v>
      </c>
      <c r="J129" s="40" t="s">
        <v>231</v>
      </c>
    </row>
    <row r="130" spans="1:10" s="46" customFormat="1" ht="12.75" x14ac:dyDescent="0.2">
      <c r="A130" s="41">
        <v>103</v>
      </c>
      <c r="B130" s="41" t="s">
        <v>225</v>
      </c>
      <c r="C130" s="40" t="s">
        <v>232</v>
      </c>
      <c r="D130" s="40">
        <v>6</v>
      </c>
      <c r="E130" s="40" t="s">
        <v>40</v>
      </c>
      <c r="F130" s="42">
        <v>44964</v>
      </c>
      <c r="G130" s="40" t="s">
        <v>227</v>
      </c>
      <c r="H130" s="40">
        <v>11</v>
      </c>
      <c r="I130" s="40">
        <v>10</v>
      </c>
      <c r="J130" s="40" t="s">
        <v>228</v>
      </c>
    </row>
    <row r="131" spans="1:10" s="46" customFormat="1" ht="26.25" x14ac:dyDescent="0.25">
      <c r="A131" s="39">
        <v>104</v>
      </c>
      <c r="B131" s="41" t="s">
        <v>229</v>
      </c>
      <c r="C131" s="40" t="s">
        <v>233</v>
      </c>
      <c r="D131" s="40">
        <v>8</v>
      </c>
      <c r="E131" s="40" t="s">
        <v>40</v>
      </c>
      <c r="F131" s="42">
        <v>44966</v>
      </c>
      <c r="G131" s="40" t="s">
        <v>227</v>
      </c>
      <c r="H131" s="40">
        <v>7</v>
      </c>
      <c r="I131" s="40">
        <v>7</v>
      </c>
      <c r="J131" s="40" t="s">
        <v>231</v>
      </c>
    </row>
    <row r="132" spans="1:10" s="46" customFormat="1" x14ac:dyDescent="0.25">
      <c r="A132" s="39">
        <v>105</v>
      </c>
      <c r="B132" s="41" t="s">
        <v>225</v>
      </c>
      <c r="C132" s="40" t="s">
        <v>234</v>
      </c>
      <c r="D132" s="40">
        <v>6</v>
      </c>
      <c r="E132" s="40" t="s">
        <v>40</v>
      </c>
      <c r="F132" s="42">
        <v>44967</v>
      </c>
      <c r="G132" s="40" t="s">
        <v>227</v>
      </c>
      <c r="H132" s="40">
        <v>11</v>
      </c>
      <c r="I132" s="40">
        <v>10</v>
      </c>
      <c r="J132" s="40" t="s">
        <v>69</v>
      </c>
    </row>
    <row r="133" spans="1:10" s="46" customFormat="1" ht="25.5" x14ac:dyDescent="0.2">
      <c r="A133" s="41">
        <v>106</v>
      </c>
      <c r="B133" s="41" t="s">
        <v>229</v>
      </c>
      <c r="C133" s="40" t="s">
        <v>235</v>
      </c>
      <c r="D133" s="40">
        <v>8</v>
      </c>
      <c r="E133" s="40" t="s">
        <v>40</v>
      </c>
      <c r="F133" s="42">
        <v>44970</v>
      </c>
      <c r="G133" s="40" t="s">
        <v>227</v>
      </c>
      <c r="H133" s="40">
        <v>7</v>
      </c>
      <c r="I133" s="40">
        <v>7</v>
      </c>
      <c r="J133" s="40" t="s">
        <v>231</v>
      </c>
    </row>
    <row r="134" spans="1:10" s="46" customFormat="1" x14ac:dyDescent="0.25">
      <c r="A134" s="39">
        <v>107</v>
      </c>
      <c r="B134" s="41" t="s">
        <v>225</v>
      </c>
      <c r="C134" s="43" t="s">
        <v>236</v>
      </c>
      <c r="D134" s="40">
        <v>6</v>
      </c>
      <c r="E134" s="40" t="s">
        <v>40</v>
      </c>
      <c r="F134" s="42">
        <v>44971</v>
      </c>
      <c r="G134" s="40" t="s">
        <v>227</v>
      </c>
      <c r="H134" s="40">
        <v>11</v>
      </c>
      <c r="I134" s="40">
        <v>10</v>
      </c>
      <c r="J134" s="40" t="s">
        <v>69</v>
      </c>
    </row>
    <row r="135" spans="1:10" s="46" customFormat="1" ht="26.25" x14ac:dyDescent="0.25">
      <c r="A135" s="39">
        <v>108</v>
      </c>
      <c r="B135" s="41" t="s">
        <v>229</v>
      </c>
      <c r="C135" s="40" t="s">
        <v>237</v>
      </c>
      <c r="D135" s="40">
        <v>8</v>
      </c>
      <c r="E135" s="40" t="s">
        <v>40</v>
      </c>
      <c r="F135" s="42">
        <v>44973</v>
      </c>
      <c r="G135" s="40" t="s">
        <v>227</v>
      </c>
      <c r="H135" s="40">
        <v>7</v>
      </c>
      <c r="I135" s="40">
        <v>7</v>
      </c>
      <c r="J135" s="40" t="s">
        <v>231</v>
      </c>
    </row>
    <row r="136" spans="1:10" s="46" customFormat="1" ht="12.75" x14ac:dyDescent="0.2">
      <c r="A136" s="35">
        <v>109</v>
      </c>
      <c r="B136" s="41" t="s">
        <v>225</v>
      </c>
      <c r="C136" s="40" t="s">
        <v>238</v>
      </c>
      <c r="D136" s="40">
        <v>6</v>
      </c>
      <c r="E136" s="40" t="s">
        <v>40</v>
      </c>
      <c r="F136" s="42">
        <v>44974</v>
      </c>
      <c r="G136" s="40" t="s">
        <v>227</v>
      </c>
      <c r="H136" s="40">
        <v>11</v>
      </c>
      <c r="I136" s="40">
        <v>10</v>
      </c>
      <c r="J136" s="40" t="s">
        <v>239</v>
      </c>
    </row>
    <row r="137" spans="1:10" s="46" customFormat="1" ht="26.25" x14ac:dyDescent="0.25">
      <c r="A137" s="39">
        <v>110</v>
      </c>
      <c r="B137" s="41" t="s">
        <v>229</v>
      </c>
      <c r="C137" s="40" t="s">
        <v>240</v>
      </c>
      <c r="D137" s="40">
        <v>8</v>
      </c>
      <c r="E137" s="40" t="s">
        <v>40</v>
      </c>
      <c r="F137" s="42">
        <v>44977</v>
      </c>
      <c r="G137" s="40" t="s">
        <v>227</v>
      </c>
      <c r="H137" s="40">
        <v>7</v>
      </c>
      <c r="I137" s="40">
        <v>7</v>
      </c>
      <c r="J137" s="40" t="s">
        <v>231</v>
      </c>
    </row>
    <row r="138" spans="1:10" s="46" customFormat="1" x14ac:dyDescent="0.25">
      <c r="A138" s="39">
        <v>111</v>
      </c>
      <c r="B138" s="41" t="s">
        <v>225</v>
      </c>
      <c r="C138" s="40" t="s">
        <v>241</v>
      </c>
      <c r="D138" s="40">
        <v>6</v>
      </c>
      <c r="E138" s="40" t="s">
        <v>40</v>
      </c>
      <c r="F138" s="42">
        <v>44978</v>
      </c>
      <c r="G138" s="40" t="s">
        <v>227</v>
      </c>
      <c r="H138" s="40">
        <v>11</v>
      </c>
      <c r="I138" s="40">
        <v>10</v>
      </c>
      <c r="J138" s="40" t="s">
        <v>69</v>
      </c>
    </row>
    <row r="139" spans="1:10" s="46" customFormat="1" ht="25.5" x14ac:dyDescent="0.2">
      <c r="A139" s="41">
        <v>112</v>
      </c>
      <c r="B139" s="41" t="s">
        <v>229</v>
      </c>
      <c r="C139" s="40" t="s">
        <v>242</v>
      </c>
      <c r="D139" s="40">
        <v>8</v>
      </c>
      <c r="E139" s="40" t="s">
        <v>40</v>
      </c>
      <c r="F139" s="42">
        <v>44980</v>
      </c>
      <c r="G139" s="40" t="s">
        <v>227</v>
      </c>
      <c r="H139" s="40">
        <v>7</v>
      </c>
      <c r="I139" s="40">
        <v>7</v>
      </c>
      <c r="J139" s="40" t="s">
        <v>231</v>
      </c>
    </row>
    <row r="140" spans="1:10" s="46" customFormat="1" x14ac:dyDescent="0.25">
      <c r="A140" s="39">
        <v>113</v>
      </c>
      <c r="B140" s="41" t="s">
        <v>225</v>
      </c>
      <c r="C140" s="40" t="s">
        <v>243</v>
      </c>
      <c r="D140" s="40">
        <v>6</v>
      </c>
      <c r="E140" s="40" t="s">
        <v>40</v>
      </c>
      <c r="F140" s="42">
        <v>44981</v>
      </c>
      <c r="G140" s="40" t="s">
        <v>227</v>
      </c>
      <c r="H140" s="40">
        <v>11</v>
      </c>
      <c r="I140" s="40">
        <v>10</v>
      </c>
      <c r="J140" s="40" t="s">
        <v>69</v>
      </c>
    </row>
    <row r="141" spans="1:10" s="46" customFormat="1" x14ac:dyDescent="0.25">
      <c r="A141" s="39">
        <v>114</v>
      </c>
      <c r="B141" s="41" t="s">
        <v>225</v>
      </c>
      <c r="C141" s="40" t="s">
        <v>244</v>
      </c>
      <c r="D141" s="40">
        <v>6</v>
      </c>
      <c r="E141" s="40" t="s">
        <v>40</v>
      </c>
      <c r="F141" s="42">
        <v>44985</v>
      </c>
      <c r="G141" s="40" t="s">
        <v>227</v>
      </c>
      <c r="H141" s="40">
        <v>11</v>
      </c>
      <c r="I141" s="40">
        <v>10</v>
      </c>
      <c r="J141" s="40" t="s">
        <v>69</v>
      </c>
    </row>
    <row r="142" spans="1:10" s="46" customFormat="1" ht="25.5" x14ac:dyDescent="0.2">
      <c r="A142" s="41">
        <v>115</v>
      </c>
      <c r="B142" s="41" t="s">
        <v>229</v>
      </c>
      <c r="C142" s="40" t="s">
        <v>245</v>
      </c>
      <c r="D142" s="40">
        <v>8</v>
      </c>
      <c r="E142" s="40" t="s">
        <v>40</v>
      </c>
      <c r="F142" s="42">
        <v>44987</v>
      </c>
      <c r="G142" s="40" t="s">
        <v>227</v>
      </c>
      <c r="H142" s="40">
        <v>7</v>
      </c>
      <c r="I142" s="40">
        <v>7</v>
      </c>
      <c r="J142" s="40" t="s">
        <v>231</v>
      </c>
    </row>
    <row r="143" spans="1:10" s="46" customFormat="1" x14ac:dyDescent="0.25">
      <c r="A143" s="39">
        <v>116</v>
      </c>
      <c r="B143" s="41" t="s">
        <v>225</v>
      </c>
      <c r="C143" s="40" t="s">
        <v>246</v>
      </c>
      <c r="D143" s="40">
        <v>6</v>
      </c>
      <c r="E143" s="40" t="s">
        <v>40</v>
      </c>
      <c r="F143" s="42">
        <v>44988</v>
      </c>
      <c r="G143" s="40" t="s">
        <v>227</v>
      </c>
      <c r="H143" s="40">
        <v>11</v>
      </c>
      <c r="I143" s="40">
        <v>10</v>
      </c>
      <c r="J143" s="40" t="s">
        <v>228</v>
      </c>
    </row>
    <row r="144" spans="1:10" s="46" customFormat="1" ht="26.25" x14ac:dyDescent="0.25">
      <c r="A144" s="39">
        <v>117</v>
      </c>
      <c r="B144" s="41" t="s">
        <v>229</v>
      </c>
      <c r="C144" s="40" t="s">
        <v>247</v>
      </c>
      <c r="D144" s="40">
        <v>8</v>
      </c>
      <c r="E144" s="40" t="s">
        <v>40</v>
      </c>
      <c r="F144" s="42">
        <v>44991</v>
      </c>
      <c r="G144" s="40" t="s">
        <v>227</v>
      </c>
      <c r="H144" s="40">
        <v>7</v>
      </c>
      <c r="I144" s="40">
        <v>7</v>
      </c>
      <c r="J144" s="40" t="s">
        <v>231</v>
      </c>
    </row>
    <row r="145" spans="1:10" s="46" customFormat="1" ht="12.75" x14ac:dyDescent="0.2">
      <c r="A145" s="41">
        <v>118</v>
      </c>
      <c r="B145" s="41" t="s">
        <v>225</v>
      </c>
      <c r="C145" s="40" t="s">
        <v>248</v>
      </c>
      <c r="D145" s="40">
        <v>6</v>
      </c>
      <c r="E145" s="40" t="s">
        <v>40</v>
      </c>
      <c r="F145" s="42">
        <v>44992</v>
      </c>
      <c r="G145" s="40" t="s">
        <v>227</v>
      </c>
      <c r="H145" s="40">
        <v>11</v>
      </c>
      <c r="I145" s="40">
        <v>10</v>
      </c>
      <c r="J145" s="40" t="s">
        <v>69</v>
      </c>
    </row>
    <row r="146" spans="1:10" s="46" customFormat="1" ht="26.25" x14ac:dyDescent="0.25">
      <c r="A146" s="39">
        <v>119</v>
      </c>
      <c r="B146" s="41" t="s">
        <v>229</v>
      </c>
      <c r="C146" s="40" t="s">
        <v>249</v>
      </c>
      <c r="D146" s="40">
        <v>8</v>
      </c>
      <c r="E146" s="40" t="s">
        <v>40</v>
      </c>
      <c r="F146" s="42">
        <v>44994</v>
      </c>
      <c r="G146" s="40" t="s">
        <v>227</v>
      </c>
      <c r="H146" s="40">
        <v>7</v>
      </c>
      <c r="I146" s="40">
        <v>7</v>
      </c>
      <c r="J146" s="40" t="s">
        <v>231</v>
      </c>
    </row>
    <row r="147" spans="1:10" s="46" customFormat="1" x14ac:dyDescent="0.25">
      <c r="A147" s="39">
        <v>120</v>
      </c>
      <c r="B147" s="41" t="s">
        <v>250</v>
      </c>
      <c r="C147" s="40" t="s">
        <v>251</v>
      </c>
      <c r="D147" s="40">
        <v>6</v>
      </c>
      <c r="E147" s="40" t="s">
        <v>40</v>
      </c>
      <c r="F147" s="42">
        <v>44995</v>
      </c>
      <c r="G147" s="40" t="s">
        <v>227</v>
      </c>
      <c r="H147" s="40">
        <v>11</v>
      </c>
      <c r="I147" s="40">
        <v>10</v>
      </c>
      <c r="J147" s="40" t="s">
        <v>239</v>
      </c>
    </row>
    <row r="148" spans="1:10" s="46" customFormat="1" ht="25.5" x14ac:dyDescent="0.2">
      <c r="A148" s="41">
        <v>121</v>
      </c>
      <c r="B148" s="41" t="s">
        <v>229</v>
      </c>
      <c r="C148" s="40" t="s">
        <v>252</v>
      </c>
      <c r="D148" s="40">
        <v>8</v>
      </c>
      <c r="E148" s="40" t="s">
        <v>40</v>
      </c>
      <c r="F148" s="42">
        <v>44998</v>
      </c>
      <c r="G148" s="40" t="s">
        <v>227</v>
      </c>
      <c r="H148" s="40">
        <v>7</v>
      </c>
      <c r="I148" s="40">
        <v>7</v>
      </c>
      <c r="J148" s="40" t="s">
        <v>231</v>
      </c>
    </row>
    <row r="149" spans="1:10" s="46" customFormat="1" x14ac:dyDescent="0.25">
      <c r="A149" s="39">
        <v>122</v>
      </c>
      <c r="B149" s="41" t="s">
        <v>225</v>
      </c>
      <c r="C149" s="40" t="s">
        <v>253</v>
      </c>
      <c r="D149" s="40">
        <v>6</v>
      </c>
      <c r="E149" s="40" t="s">
        <v>40</v>
      </c>
      <c r="F149" s="42">
        <v>44999</v>
      </c>
      <c r="G149" s="40" t="s">
        <v>227</v>
      </c>
      <c r="H149" s="40">
        <v>11</v>
      </c>
      <c r="I149" s="40">
        <v>10</v>
      </c>
      <c r="J149" s="40" t="s">
        <v>239</v>
      </c>
    </row>
    <row r="150" spans="1:10" s="46" customFormat="1" ht="26.25" x14ac:dyDescent="0.25">
      <c r="A150" s="39">
        <v>123</v>
      </c>
      <c r="B150" s="41" t="s">
        <v>229</v>
      </c>
      <c r="C150" s="40" t="s">
        <v>254</v>
      </c>
      <c r="D150" s="40">
        <v>8</v>
      </c>
      <c r="E150" s="40" t="s">
        <v>40</v>
      </c>
      <c r="F150" s="42">
        <v>45008</v>
      </c>
      <c r="G150" s="40" t="s">
        <v>227</v>
      </c>
      <c r="H150" s="40">
        <v>7</v>
      </c>
      <c r="I150" s="40">
        <v>7</v>
      </c>
      <c r="J150" s="40" t="s">
        <v>231</v>
      </c>
    </row>
    <row r="151" spans="1:10" x14ac:dyDescent="0.25">
      <c r="A151" s="41">
        <v>124</v>
      </c>
      <c r="B151" s="41" t="s">
        <v>225</v>
      </c>
      <c r="C151" s="40" t="s">
        <v>255</v>
      </c>
      <c r="D151" s="40">
        <v>6</v>
      </c>
      <c r="E151" s="40" t="s">
        <v>40</v>
      </c>
      <c r="F151" s="42">
        <v>45006</v>
      </c>
      <c r="G151" s="40" t="s">
        <v>227</v>
      </c>
      <c r="H151" s="40">
        <v>11</v>
      </c>
      <c r="I151" s="40">
        <v>10</v>
      </c>
      <c r="J151" s="40" t="s">
        <v>239</v>
      </c>
    </row>
    <row r="152" spans="1:10" ht="26.25" x14ac:dyDescent="0.25">
      <c r="A152" s="39">
        <v>125</v>
      </c>
      <c r="B152" s="41" t="s">
        <v>229</v>
      </c>
      <c r="C152" s="40" t="s">
        <v>256</v>
      </c>
      <c r="D152" s="40">
        <v>8</v>
      </c>
      <c r="E152" s="40" t="s">
        <v>40</v>
      </c>
      <c r="F152" s="42">
        <v>45012</v>
      </c>
      <c r="G152" s="40" t="s">
        <v>227</v>
      </c>
      <c r="H152" s="40">
        <v>7</v>
      </c>
      <c r="I152" s="40">
        <v>7</v>
      </c>
      <c r="J152" s="40" t="s">
        <v>231</v>
      </c>
    </row>
    <row r="153" spans="1:10" x14ac:dyDescent="0.25">
      <c r="A153" s="39">
        <v>126</v>
      </c>
      <c r="B153" s="41" t="s">
        <v>225</v>
      </c>
      <c r="C153" s="40" t="s">
        <v>257</v>
      </c>
      <c r="D153" s="40">
        <v>6</v>
      </c>
      <c r="E153" s="40" t="s">
        <v>40</v>
      </c>
      <c r="F153" s="42">
        <v>45013</v>
      </c>
      <c r="G153" s="40" t="s">
        <v>227</v>
      </c>
      <c r="H153" s="40">
        <v>11</v>
      </c>
      <c r="I153" s="40">
        <v>10</v>
      </c>
      <c r="J153" s="40" t="s">
        <v>239</v>
      </c>
    </row>
    <row r="154" spans="1:10" x14ac:dyDescent="0.25">
      <c r="A154" s="35">
        <v>127</v>
      </c>
      <c r="B154" s="35" t="s">
        <v>258</v>
      </c>
      <c r="C154" s="36" t="s">
        <v>259</v>
      </c>
      <c r="D154" s="36">
        <v>6</v>
      </c>
      <c r="E154" s="36" t="s">
        <v>40</v>
      </c>
      <c r="F154" s="37">
        <v>44974</v>
      </c>
      <c r="G154" s="36" t="s">
        <v>260</v>
      </c>
      <c r="H154" s="36">
        <v>13</v>
      </c>
      <c r="I154" s="36">
        <v>12</v>
      </c>
      <c r="J154" s="36" t="s">
        <v>261</v>
      </c>
    </row>
    <row r="155" spans="1:10" x14ac:dyDescent="0.25">
      <c r="A155" s="39">
        <v>128</v>
      </c>
      <c r="B155" s="41" t="s">
        <v>258</v>
      </c>
      <c r="C155" s="40" t="s">
        <v>262</v>
      </c>
      <c r="D155" s="40">
        <v>6</v>
      </c>
      <c r="E155" s="40" t="s">
        <v>40</v>
      </c>
      <c r="F155" s="42">
        <v>44988</v>
      </c>
      <c r="G155" s="40" t="s">
        <v>260</v>
      </c>
      <c r="H155" s="40">
        <v>13</v>
      </c>
      <c r="I155" s="40">
        <v>12</v>
      </c>
      <c r="J155" s="40" t="s">
        <v>261</v>
      </c>
    </row>
    <row r="156" spans="1:10" x14ac:dyDescent="0.25">
      <c r="A156" s="39">
        <v>129</v>
      </c>
      <c r="B156" s="41" t="s">
        <v>258</v>
      </c>
      <c r="C156" s="40" t="s">
        <v>263</v>
      </c>
      <c r="D156" s="40">
        <v>6</v>
      </c>
      <c r="E156" s="40" t="s">
        <v>40</v>
      </c>
      <c r="F156" s="42">
        <v>45009</v>
      </c>
      <c r="G156" s="40" t="s">
        <v>260</v>
      </c>
      <c r="H156" s="40">
        <v>13</v>
      </c>
      <c r="I156" s="40">
        <v>12</v>
      </c>
      <c r="J156" s="40" t="s">
        <v>261</v>
      </c>
    </row>
    <row r="157" spans="1:10" s="38" customFormat="1" ht="25.5" x14ac:dyDescent="0.2">
      <c r="A157" s="130">
        <v>1</v>
      </c>
      <c r="B157" s="131" t="s">
        <v>154</v>
      </c>
      <c r="C157" s="131" t="s">
        <v>164</v>
      </c>
      <c r="D157" s="132" t="s">
        <v>79</v>
      </c>
      <c r="E157" s="132" t="s">
        <v>40</v>
      </c>
      <c r="F157" s="132" t="s">
        <v>165</v>
      </c>
      <c r="G157" s="132" t="s">
        <v>157</v>
      </c>
      <c r="H157" s="132">
        <v>20</v>
      </c>
      <c r="I157" s="132">
        <v>16</v>
      </c>
      <c r="J157" s="132" t="s">
        <v>42</v>
      </c>
    </row>
    <row r="158" spans="1:10" s="38" customFormat="1" ht="25.5" x14ac:dyDescent="0.2">
      <c r="A158" s="133">
        <v>2</v>
      </c>
      <c r="B158" s="134" t="s">
        <v>154</v>
      </c>
      <c r="C158" s="134" t="s">
        <v>417</v>
      </c>
      <c r="D158" s="132" t="s">
        <v>79</v>
      </c>
      <c r="E158" s="135" t="s">
        <v>40</v>
      </c>
      <c r="F158" s="135" t="s">
        <v>418</v>
      </c>
      <c r="G158" s="135" t="s">
        <v>157</v>
      </c>
      <c r="H158" s="135">
        <v>20</v>
      </c>
      <c r="I158" s="135">
        <v>15</v>
      </c>
      <c r="J158" s="135" t="s">
        <v>42</v>
      </c>
    </row>
    <row r="159" spans="1:10" s="38" customFormat="1" ht="25.5" x14ac:dyDescent="0.2">
      <c r="A159" s="133">
        <v>3</v>
      </c>
      <c r="B159" s="134" t="s">
        <v>154</v>
      </c>
      <c r="C159" s="134" t="s">
        <v>419</v>
      </c>
      <c r="D159" s="132" t="s">
        <v>79</v>
      </c>
      <c r="E159" s="135" t="s">
        <v>40</v>
      </c>
      <c r="F159" s="135" t="s">
        <v>420</v>
      </c>
      <c r="G159" s="135" t="s">
        <v>157</v>
      </c>
      <c r="H159" s="135">
        <v>20</v>
      </c>
      <c r="I159" s="135">
        <v>15</v>
      </c>
      <c r="J159" s="135" t="s">
        <v>42</v>
      </c>
    </row>
    <row r="160" spans="1:10" s="38" customFormat="1" ht="38.25" x14ac:dyDescent="0.2">
      <c r="A160" s="133">
        <v>4</v>
      </c>
      <c r="B160" s="134" t="s">
        <v>166</v>
      </c>
      <c r="C160" s="134" t="s">
        <v>421</v>
      </c>
      <c r="D160" s="135" t="s">
        <v>88</v>
      </c>
      <c r="E160" s="135" t="s">
        <v>40</v>
      </c>
      <c r="F160" s="135" t="s">
        <v>181</v>
      </c>
      <c r="G160" s="135" t="s">
        <v>157</v>
      </c>
      <c r="H160" s="135">
        <v>11</v>
      </c>
      <c r="I160" s="135">
        <v>5</v>
      </c>
      <c r="J160" s="135" t="s">
        <v>42</v>
      </c>
    </row>
    <row r="161" spans="1:10" s="38" customFormat="1" ht="25.5" x14ac:dyDescent="0.2">
      <c r="A161" s="133">
        <v>5</v>
      </c>
      <c r="B161" s="134" t="s">
        <v>166</v>
      </c>
      <c r="C161" s="134" t="s">
        <v>422</v>
      </c>
      <c r="D161" s="135" t="s">
        <v>88</v>
      </c>
      <c r="E161" s="135" t="s">
        <v>40</v>
      </c>
      <c r="F161" s="135" t="s">
        <v>423</v>
      </c>
      <c r="G161" s="135" t="s">
        <v>157</v>
      </c>
      <c r="H161" s="135">
        <v>11</v>
      </c>
      <c r="I161" s="135">
        <v>10</v>
      </c>
      <c r="J161" s="135" t="s">
        <v>42</v>
      </c>
    </row>
    <row r="162" spans="1:10" s="38" customFormat="1" ht="38.25" x14ac:dyDescent="0.2">
      <c r="A162" s="133">
        <v>6</v>
      </c>
      <c r="B162" s="130" t="s">
        <v>112</v>
      </c>
      <c r="C162" s="131" t="s">
        <v>424</v>
      </c>
      <c r="D162" s="132" t="s">
        <v>114</v>
      </c>
      <c r="E162" s="132" t="s">
        <v>40</v>
      </c>
      <c r="F162" s="132" t="s">
        <v>425</v>
      </c>
      <c r="G162" s="132" t="s">
        <v>116</v>
      </c>
      <c r="H162" s="132">
        <v>28</v>
      </c>
      <c r="I162" s="132">
        <v>26</v>
      </c>
      <c r="J162" s="132" t="s">
        <v>69</v>
      </c>
    </row>
    <row r="163" spans="1:10" s="38" customFormat="1" ht="63.75" x14ac:dyDescent="0.2">
      <c r="A163" s="133">
        <v>7</v>
      </c>
      <c r="B163" s="133" t="s">
        <v>112</v>
      </c>
      <c r="C163" s="134" t="s">
        <v>426</v>
      </c>
      <c r="D163" s="135" t="s">
        <v>114</v>
      </c>
      <c r="E163" s="135" t="s">
        <v>40</v>
      </c>
      <c r="F163" s="135" t="s">
        <v>427</v>
      </c>
      <c r="G163" s="135" t="s">
        <v>116</v>
      </c>
      <c r="H163" s="135">
        <v>28</v>
      </c>
      <c r="I163" s="135">
        <v>26</v>
      </c>
      <c r="J163" s="135" t="s">
        <v>69</v>
      </c>
    </row>
    <row r="164" spans="1:10" s="38" customFormat="1" ht="51" x14ac:dyDescent="0.2">
      <c r="A164" s="133">
        <v>8</v>
      </c>
      <c r="B164" s="133" t="s">
        <v>112</v>
      </c>
      <c r="C164" s="134" t="s">
        <v>428</v>
      </c>
      <c r="D164" s="135" t="s">
        <v>114</v>
      </c>
      <c r="E164" s="135" t="s">
        <v>40</v>
      </c>
      <c r="F164" s="135" t="s">
        <v>429</v>
      </c>
      <c r="G164" s="135" t="s">
        <v>116</v>
      </c>
      <c r="H164" s="135">
        <v>28</v>
      </c>
      <c r="I164" s="135">
        <v>26</v>
      </c>
      <c r="J164" s="135" t="s">
        <v>69</v>
      </c>
    </row>
    <row r="165" spans="1:10" s="38" customFormat="1" ht="51" x14ac:dyDescent="0.2">
      <c r="A165" s="133">
        <v>9</v>
      </c>
      <c r="B165" s="133" t="s">
        <v>112</v>
      </c>
      <c r="C165" s="134" t="s">
        <v>430</v>
      </c>
      <c r="D165" s="135" t="s">
        <v>114</v>
      </c>
      <c r="E165" s="135" t="s">
        <v>40</v>
      </c>
      <c r="F165" s="135" t="s">
        <v>431</v>
      </c>
      <c r="G165" s="135" t="s">
        <v>116</v>
      </c>
      <c r="H165" s="135">
        <v>28</v>
      </c>
      <c r="I165" s="135">
        <v>26</v>
      </c>
      <c r="J165" s="135" t="s">
        <v>69</v>
      </c>
    </row>
    <row r="166" spans="1:10" s="38" customFormat="1" ht="63.75" x14ac:dyDescent="0.2">
      <c r="A166" s="133">
        <v>10</v>
      </c>
      <c r="B166" s="133" t="s">
        <v>432</v>
      </c>
      <c r="C166" s="134" t="s">
        <v>433</v>
      </c>
      <c r="D166" s="132" t="s">
        <v>79</v>
      </c>
      <c r="E166" s="135" t="s">
        <v>40</v>
      </c>
      <c r="F166" s="135" t="s">
        <v>427</v>
      </c>
      <c r="G166" s="135" t="s">
        <v>116</v>
      </c>
      <c r="H166" s="135">
        <v>17</v>
      </c>
      <c r="I166" s="135">
        <v>13</v>
      </c>
      <c r="J166" s="135" t="s">
        <v>231</v>
      </c>
    </row>
    <row r="167" spans="1:10" s="38" customFormat="1" ht="63.75" x14ac:dyDescent="0.2">
      <c r="A167" s="133">
        <v>11</v>
      </c>
      <c r="B167" s="133" t="s">
        <v>432</v>
      </c>
      <c r="C167" s="134" t="s">
        <v>434</v>
      </c>
      <c r="D167" s="132" t="s">
        <v>79</v>
      </c>
      <c r="E167" s="135" t="s">
        <v>40</v>
      </c>
      <c r="F167" s="135" t="s">
        <v>435</v>
      </c>
      <c r="G167" s="135" t="s">
        <v>116</v>
      </c>
      <c r="H167" s="135">
        <v>17</v>
      </c>
      <c r="I167" s="135">
        <v>13</v>
      </c>
      <c r="J167" s="135" t="s">
        <v>231</v>
      </c>
    </row>
    <row r="168" spans="1:10" s="38" customFormat="1" ht="25.5" x14ac:dyDescent="0.2">
      <c r="A168" s="133">
        <v>12</v>
      </c>
      <c r="B168" s="133" t="s">
        <v>132</v>
      </c>
      <c r="C168" s="134" t="s">
        <v>436</v>
      </c>
      <c r="D168" s="135" t="s">
        <v>88</v>
      </c>
      <c r="E168" s="135" t="s">
        <v>40</v>
      </c>
      <c r="F168" s="135" t="s">
        <v>437</v>
      </c>
      <c r="G168" s="135" t="s">
        <v>116</v>
      </c>
      <c r="H168" s="135">
        <v>13</v>
      </c>
      <c r="I168" s="135">
        <v>12</v>
      </c>
      <c r="J168" s="135" t="s">
        <v>135</v>
      </c>
    </row>
    <row r="169" spans="1:10" s="38" customFormat="1" ht="25.5" x14ac:dyDescent="0.2">
      <c r="A169" s="133">
        <v>13</v>
      </c>
      <c r="B169" s="133" t="s">
        <v>132</v>
      </c>
      <c r="C169" s="134" t="s">
        <v>438</v>
      </c>
      <c r="D169" s="135" t="s">
        <v>88</v>
      </c>
      <c r="E169" s="135" t="s">
        <v>40</v>
      </c>
      <c r="F169" s="135" t="s">
        <v>439</v>
      </c>
      <c r="G169" s="135" t="s">
        <v>116</v>
      </c>
      <c r="H169" s="135">
        <v>13</v>
      </c>
      <c r="I169" s="135">
        <v>12</v>
      </c>
      <c r="J169" s="135" t="s">
        <v>135</v>
      </c>
    </row>
    <row r="170" spans="1:10" s="38" customFormat="1" ht="25.5" x14ac:dyDescent="0.2">
      <c r="A170" s="133">
        <v>14</v>
      </c>
      <c r="B170" s="133" t="s">
        <v>140</v>
      </c>
      <c r="C170" s="134" t="s">
        <v>440</v>
      </c>
      <c r="D170" s="135" t="s">
        <v>94</v>
      </c>
      <c r="E170" s="135" t="s">
        <v>40</v>
      </c>
      <c r="F170" s="135" t="s">
        <v>441</v>
      </c>
      <c r="G170" s="135" t="s">
        <v>116</v>
      </c>
      <c r="H170" s="135">
        <v>17</v>
      </c>
      <c r="I170" s="135">
        <v>17</v>
      </c>
      <c r="J170" s="135" t="s">
        <v>135</v>
      </c>
    </row>
    <row r="171" spans="1:10" s="38" customFormat="1" ht="25.5" x14ac:dyDescent="0.2">
      <c r="A171" s="133">
        <v>15</v>
      </c>
      <c r="B171" s="133" t="s">
        <v>140</v>
      </c>
      <c r="C171" s="134" t="s">
        <v>442</v>
      </c>
      <c r="D171" s="135" t="s">
        <v>94</v>
      </c>
      <c r="E171" s="135" t="s">
        <v>40</v>
      </c>
      <c r="F171" s="135" t="s">
        <v>443</v>
      </c>
      <c r="G171" s="135" t="s">
        <v>116</v>
      </c>
      <c r="H171" s="135">
        <v>17</v>
      </c>
      <c r="I171" s="135">
        <v>17</v>
      </c>
      <c r="J171" s="135" t="s">
        <v>135</v>
      </c>
    </row>
    <row r="172" spans="1:10" s="38" customFormat="1" ht="25.5" x14ac:dyDescent="0.2">
      <c r="A172" s="133">
        <v>16</v>
      </c>
      <c r="B172" s="133" t="s">
        <v>444</v>
      </c>
      <c r="C172" s="134" t="s">
        <v>445</v>
      </c>
      <c r="D172" s="135" t="s">
        <v>94</v>
      </c>
      <c r="E172" s="135" t="s">
        <v>40</v>
      </c>
      <c r="F172" s="135" t="s">
        <v>446</v>
      </c>
      <c r="G172" s="135" t="s">
        <v>116</v>
      </c>
      <c r="H172" s="135">
        <v>7</v>
      </c>
      <c r="I172" s="135">
        <v>7</v>
      </c>
      <c r="J172" s="135" t="s">
        <v>135</v>
      </c>
    </row>
    <row r="173" spans="1:10" s="38" customFormat="1" ht="51" x14ac:dyDescent="0.2">
      <c r="A173" s="133">
        <v>17</v>
      </c>
      <c r="B173" s="133" t="s">
        <v>447</v>
      </c>
      <c r="C173" s="134" t="s">
        <v>153</v>
      </c>
      <c r="D173" s="135" t="s">
        <v>94</v>
      </c>
      <c r="E173" s="135" t="s">
        <v>40</v>
      </c>
      <c r="F173" s="135" t="s">
        <v>448</v>
      </c>
      <c r="G173" s="135" t="s">
        <v>116</v>
      </c>
      <c r="H173" s="135">
        <v>10</v>
      </c>
      <c r="I173" s="135">
        <v>10</v>
      </c>
      <c r="J173" s="135" t="s">
        <v>135</v>
      </c>
    </row>
    <row r="174" spans="1:10" s="38" customFormat="1" ht="12.75" x14ac:dyDescent="0.2">
      <c r="A174" s="133">
        <v>18</v>
      </c>
      <c r="B174" s="130" t="s">
        <v>77</v>
      </c>
      <c r="C174" s="136" t="s">
        <v>449</v>
      </c>
      <c r="D174" s="132" t="s">
        <v>79</v>
      </c>
      <c r="E174" s="132" t="s">
        <v>40</v>
      </c>
      <c r="F174" s="132" t="s">
        <v>425</v>
      </c>
      <c r="G174" s="137" t="s">
        <v>450</v>
      </c>
      <c r="H174" s="132">
        <v>16</v>
      </c>
      <c r="I174" s="132">
        <v>13</v>
      </c>
      <c r="J174" s="132" t="s">
        <v>81</v>
      </c>
    </row>
    <row r="175" spans="1:10" s="38" customFormat="1" ht="13.5" thickBot="1" x14ac:dyDescent="0.25">
      <c r="A175" s="133">
        <v>19</v>
      </c>
      <c r="B175" s="138" t="s">
        <v>77</v>
      </c>
      <c r="C175" s="139" t="s">
        <v>449</v>
      </c>
      <c r="D175" s="132" t="s">
        <v>79</v>
      </c>
      <c r="E175" s="135" t="s">
        <v>40</v>
      </c>
      <c r="F175" s="135" t="s">
        <v>429</v>
      </c>
      <c r="G175" s="140" t="s">
        <v>450</v>
      </c>
      <c r="H175" s="135">
        <v>16</v>
      </c>
      <c r="I175" s="135">
        <v>12</v>
      </c>
      <c r="J175" s="135" t="s">
        <v>81</v>
      </c>
    </row>
    <row r="176" spans="1:10" s="38" customFormat="1" ht="26.25" thickBot="1" x14ac:dyDescent="0.25">
      <c r="A176" s="133">
        <v>20</v>
      </c>
      <c r="B176" s="138" t="s">
        <v>86</v>
      </c>
      <c r="C176" s="141" t="s">
        <v>451</v>
      </c>
      <c r="D176" s="135" t="s">
        <v>88</v>
      </c>
      <c r="E176" s="135" t="s">
        <v>40</v>
      </c>
      <c r="F176" s="135" t="s">
        <v>452</v>
      </c>
      <c r="G176" s="140" t="s">
        <v>450</v>
      </c>
      <c r="H176" s="135">
        <v>19</v>
      </c>
      <c r="I176" s="135">
        <v>13</v>
      </c>
      <c r="J176" s="135" t="s">
        <v>81</v>
      </c>
    </row>
    <row r="177" spans="1:10" s="38" customFormat="1" ht="26.25" thickBot="1" x14ac:dyDescent="0.25">
      <c r="A177" s="133">
        <v>21</v>
      </c>
      <c r="B177" s="138" t="s">
        <v>86</v>
      </c>
      <c r="C177" s="142" t="s">
        <v>453</v>
      </c>
      <c r="D177" s="135" t="s">
        <v>88</v>
      </c>
      <c r="E177" s="135" t="s">
        <v>40</v>
      </c>
      <c r="F177" s="135" t="s">
        <v>454</v>
      </c>
      <c r="G177" s="140" t="s">
        <v>450</v>
      </c>
      <c r="H177" s="135">
        <v>19</v>
      </c>
      <c r="I177" s="135">
        <v>12</v>
      </c>
      <c r="J177" s="135" t="s">
        <v>81</v>
      </c>
    </row>
    <row r="178" spans="1:10" s="38" customFormat="1" ht="12.75" x14ac:dyDescent="0.2">
      <c r="A178" s="133">
        <v>22</v>
      </c>
      <c r="B178" s="138" t="s">
        <v>455</v>
      </c>
      <c r="C178" s="143" t="s">
        <v>456</v>
      </c>
      <c r="D178" s="135" t="s">
        <v>94</v>
      </c>
      <c r="E178" s="135" t="s">
        <v>40</v>
      </c>
      <c r="F178" s="135" t="s">
        <v>425</v>
      </c>
      <c r="G178" s="140" t="s">
        <v>450</v>
      </c>
      <c r="H178" s="135">
        <v>7</v>
      </c>
      <c r="I178" s="135">
        <v>7</v>
      </c>
      <c r="J178" s="135" t="s">
        <v>81</v>
      </c>
    </row>
    <row r="179" spans="1:10" s="38" customFormat="1" ht="12.75" x14ac:dyDescent="0.2">
      <c r="A179" s="133">
        <v>23</v>
      </c>
      <c r="B179" s="138" t="s">
        <v>455</v>
      </c>
      <c r="C179" s="144" t="s">
        <v>456</v>
      </c>
      <c r="D179" s="135" t="s">
        <v>94</v>
      </c>
      <c r="E179" s="135" t="s">
        <v>40</v>
      </c>
      <c r="F179" s="135" t="s">
        <v>457</v>
      </c>
      <c r="G179" s="140" t="s">
        <v>450</v>
      </c>
      <c r="H179" s="135">
        <v>7</v>
      </c>
      <c r="I179" s="135">
        <v>7</v>
      </c>
      <c r="J179" s="135" t="s">
        <v>81</v>
      </c>
    </row>
    <row r="180" spans="1:10" s="38" customFormat="1" ht="12.75" x14ac:dyDescent="0.2">
      <c r="A180" s="133">
        <v>24</v>
      </c>
      <c r="B180" s="138" t="s">
        <v>98</v>
      </c>
      <c r="C180" s="145" t="s">
        <v>458</v>
      </c>
      <c r="D180" s="135" t="s">
        <v>94</v>
      </c>
      <c r="E180" s="135" t="s">
        <v>40</v>
      </c>
      <c r="F180" s="135" t="s">
        <v>425</v>
      </c>
      <c r="G180" s="140" t="s">
        <v>450</v>
      </c>
      <c r="H180" s="135">
        <v>10</v>
      </c>
      <c r="I180" s="135">
        <v>10</v>
      </c>
      <c r="J180" s="135" t="s">
        <v>81</v>
      </c>
    </row>
    <row r="181" spans="1:10" s="38" customFormat="1" ht="13.5" thickBot="1" x14ac:dyDescent="0.25">
      <c r="A181" s="133">
        <v>25</v>
      </c>
      <c r="B181" s="138" t="s">
        <v>98</v>
      </c>
      <c r="C181" s="146" t="s">
        <v>458</v>
      </c>
      <c r="D181" s="135" t="s">
        <v>94</v>
      </c>
      <c r="E181" s="135" t="s">
        <v>40</v>
      </c>
      <c r="F181" s="135" t="s">
        <v>457</v>
      </c>
      <c r="G181" s="140" t="s">
        <v>450</v>
      </c>
      <c r="H181" s="135">
        <v>10</v>
      </c>
      <c r="I181" s="135">
        <v>10</v>
      </c>
      <c r="J181" s="135" t="s">
        <v>81</v>
      </c>
    </row>
    <row r="182" spans="1:10" s="38" customFormat="1" ht="26.25" thickBot="1" x14ac:dyDescent="0.25">
      <c r="A182" s="133">
        <v>26</v>
      </c>
      <c r="B182" s="130" t="s">
        <v>103</v>
      </c>
      <c r="C182" s="147" t="s">
        <v>459</v>
      </c>
      <c r="D182" s="137" t="s">
        <v>114</v>
      </c>
      <c r="E182" s="132" t="s">
        <v>40</v>
      </c>
      <c r="F182" s="132" t="s">
        <v>460</v>
      </c>
      <c r="G182" s="132" t="s">
        <v>461</v>
      </c>
      <c r="H182" s="132">
        <v>29</v>
      </c>
      <c r="I182" s="132">
        <v>26</v>
      </c>
      <c r="J182" s="132" t="s">
        <v>462</v>
      </c>
    </row>
    <row r="183" spans="1:10" s="38" customFormat="1" ht="25.5" x14ac:dyDescent="0.2">
      <c r="A183" s="133">
        <v>27</v>
      </c>
      <c r="B183" s="133" t="s">
        <v>103</v>
      </c>
      <c r="C183" s="131" t="s">
        <v>463</v>
      </c>
      <c r="D183" s="135" t="s">
        <v>114</v>
      </c>
      <c r="E183" s="135" t="s">
        <v>40</v>
      </c>
      <c r="F183" s="135" t="s">
        <v>464</v>
      </c>
      <c r="G183" s="135" t="s">
        <v>461</v>
      </c>
      <c r="H183" s="135">
        <v>29</v>
      </c>
      <c r="I183" s="135">
        <v>25</v>
      </c>
      <c r="J183" s="135" t="s">
        <v>465</v>
      </c>
    </row>
    <row r="184" spans="1:10" s="38" customFormat="1" ht="25.5" x14ac:dyDescent="0.2">
      <c r="A184" s="133">
        <v>28</v>
      </c>
      <c r="B184" s="133" t="s">
        <v>103</v>
      </c>
      <c r="C184" s="134" t="s">
        <v>459</v>
      </c>
      <c r="D184" s="135" t="s">
        <v>114</v>
      </c>
      <c r="E184" s="135" t="s">
        <v>110</v>
      </c>
      <c r="F184" s="135" t="s">
        <v>437</v>
      </c>
      <c r="G184" s="135" t="s">
        <v>461</v>
      </c>
      <c r="H184" s="135">
        <v>20</v>
      </c>
      <c r="I184" s="135">
        <v>18</v>
      </c>
      <c r="J184" s="135" t="s">
        <v>111</v>
      </c>
    </row>
    <row r="185" spans="1:10" s="38" customFormat="1" ht="25.5" x14ac:dyDescent="0.2">
      <c r="A185" s="133">
        <v>29</v>
      </c>
      <c r="B185" s="133" t="s">
        <v>103</v>
      </c>
      <c r="C185" s="134" t="s">
        <v>463</v>
      </c>
      <c r="D185" s="135" t="s">
        <v>114</v>
      </c>
      <c r="E185" s="135" t="s">
        <v>110</v>
      </c>
      <c r="F185" s="135" t="s">
        <v>429</v>
      </c>
      <c r="G185" s="135" t="s">
        <v>461</v>
      </c>
      <c r="H185" s="135">
        <v>20</v>
      </c>
      <c r="I185" s="135">
        <v>16</v>
      </c>
      <c r="J185" s="135" t="s">
        <v>111</v>
      </c>
    </row>
    <row r="186" spans="1:10" s="38" customFormat="1" ht="25.5" x14ac:dyDescent="0.2">
      <c r="A186" s="133">
        <v>30</v>
      </c>
      <c r="B186" s="130" t="s">
        <v>466</v>
      </c>
      <c r="C186" s="131" t="s">
        <v>467</v>
      </c>
      <c r="D186" s="135" t="s">
        <v>94</v>
      </c>
      <c r="E186" s="132" t="s">
        <v>40</v>
      </c>
      <c r="F186" s="148">
        <v>45203</v>
      </c>
      <c r="G186" s="132" t="s">
        <v>468</v>
      </c>
      <c r="H186" s="132">
        <v>7</v>
      </c>
      <c r="I186" s="132">
        <v>7</v>
      </c>
      <c r="J186" s="132" t="s">
        <v>42</v>
      </c>
    </row>
    <row r="187" spans="1:10" s="38" customFormat="1" ht="12.75" x14ac:dyDescent="0.2">
      <c r="A187" s="133">
        <v>31</v>
      </c>
      <c r="B187" s="133" t="s">
        <v>469</v>
      </c>
      <c r="C187" s="134" t="s">
        <v>470</v>
      </c>
      <c r="D187" s="135" t="s">
        <v>88</v>
      </c>
      <c r="E187" s="135" t="s">
        <v>40</v>
      </c>
      <c r="F187" s="149">
        <v>45234</v>
      </c>
      <c r="G187" s="135" t="s">
        <v>468</v>
      </c>
      <c r="H187" s="135">
        <v>11</v>
      </c>
      <c r="I187" s="135">
        <v>10</v>
      </c>
      <c r="J187" s="135" t="s">
        <v>69</v>
      </c>
    </row>
    <row r="188" spans="1:10" s="38" customFormat="1" ht="25.5" x14ac:dyDescent="0.2">
      <c r="A188" s="133">
        <v>32</v>
      </c>
      <c r="B188" s="133" t="s">
        <v>466</v>
      </c>
      <c r="C188" s="134" t="s">
        <v>471</v>
      </c>
      <c r="D188" s="135" t="s">
        <v>94</v>
      </c>
      <c r="E188" s="135" t="s">
        <v>40</v>
      </c>
      <c r="F188" s="135" t="s">
        <v>472</v>
      </c>
      <c r="G188" s="135" t="s">
        <v>468</v>
      </c>
      <c r="H188" s="135">
        <v>7</v>
      </c>
      <c r="I188" s="135">
        <v>7</v>
      </c>
      <c r="J188" s="135" t="s">
        <v>42</v>
      </c>
    </row>
    <row r="189" spans="1:10" s="38" customFormat="1" ht="12.75" x14ac:dyDescent="0.2">
      <c r="A189" s="133">
        <v>33</v>
      </c>
      <c r="B189" s="133" t="s">
        <v>469</v>
      </c>
      <c r="C189" s="134" t="s">
        <v>473</v>
      </c>
      <c r="D189" s="135" t="s">
        <v>88</v>
      </c>
      <c r="E189" s="135" t="s">
        <v>40</v>
      </c>
      <c r="F189" s="135" t="s">
        <v>474</v>
      </c>
      <c r="G189" s="135" t="s">
        <v>468</v>
      </c>
      <c r="H189" s="135">
        <v>11</v>
      </c>
      <c r="I189" s="135">
        <v>10</v>
      </c>
      <c r="J189" s="135" t="s">
        <v>69</v>
      </c>
    </row>
    <row r="190" spans="1:10" s="38" customFormat="1" ht="25.5" x14ac:dyDescent="0.2">
      <c r="A190" s="133">
        <v>34</v>
      </c>
      <c r="B190" s="133" t="s">
        <v>475</v>
      </c>
      <c r="C190" s="134" t="s">
        <v>476</v>
      </c>
      <c r="D190" s="135" t="s">
        <v>94</v>
      </c>
      <c r="E190" s="135" t="s">
        <v>40</v>
      </c>
      <c r="F190" s="135" t="s">
        <v>452</v>
      </c>
      <c r="G190" s="135" t="s">
        <v>468</v>
      </c>
      <c r="H190" s="135">
        <v>7</v>
      </c>
      <c r="I190" s="135">
        <v>7</v>
      </c>
      <c r="J190" s="135" t="s">
        <v>42</v>
      </c>
    </row>
    <row r="191" spans="1:10" s="38" customFormat="1" ht="12.75" x14ac:dyDescent="0.2">
      <c r="A191" s="133">
        <v>35</v>
      </c>
      <c r="B191" s="133" t="s">
        <v>469</v>
      </c>
      <c r="C191" s="134" t="s">
        <v>477</v>
      </c>
      <c r="D191" s="135" t="s">
        <v>88</v>
      </c>
      <c r="E191" s="135" t="s">
        <v>40</v>
      </c>
      <c r="F191" s="135" t="s">
        <v>478</v>
      </c>
      <c r="G191" s="135" t="s">
        <v>468</v>
      </c>
      <c r="H191" s="135">
        <v>11</v>
      </c>
      <c r="I191" s="135">
        <v>10</v>
      </c>
      <c r="J191" s="135" t="s">
        <v>69</v>
      </c>
    </row>
    <row r="192" spans="1:10" s="38" customFormat="1" ht="25.5" x14ac:dyDescent="0.2">
      <c r="A192" s="133">
        <v>36</v>
      </c>
      <c r="B192" s="133" t="s">
        <v>466</v>
      </c>
      <c r="C192" s="150" t="s">
        <v>479</v>
      </c>
      <c r="D192" s="135" t="s">
        <v>88</v>
      </c>
      <c r="E192" s="135" t="s">
        <v>40</v>
      </c>
      <c r="F192" s="135" t="s">
        <v>427</v>
      </c>
      <c r="G192" s="135" t="s">
        <v>468</v>
      </c>
      <c r="H192" s="135">
        <v>7</v>
      </c>
      <c r="I192" s="135">
        <v>7</v>
      </c>
      <c r="J192" s="135" t="s">
        <v>231</v>
      </c>
    </row>
    <row r="193" spans="1:10" s="46" customFormat="1" ht="12.75" x14ac:dyDescent="0.2">
      <c r="A193" s="133">
        <v>37</v>
      </c>
      <c r="B193" s="133" t="s">
        <v>469</v>
      </c>
      <c r="C193" s="134" t="s">
        <v>480</v>
      </c>
      <c r="D193" s="135" t="s">
        <v>88</v>
      </c>
      <c r="E193" s="135" t="s">
        <v>40</v>
      </c>
      <c r="F193" s="135" t="s">
        <v>481</v>
      </c>
      <c r="G193" s="135" t="s">
        <v>468</v>
      </c>
      <c r="H193" s="135">
        <v>11</v>
      </c>
      <c r="I193" s="135">
        <v>10</v>
      </c>
      <c r="J193" s="135" t="s">
        <v>69</v>
      </c>
    </row>
    <row r="194" spans="1:10" s="46" customFormat="1" ht="25.5" x14ac:dyDescent="0.2">
      <c r="A194" s="133">
        <v>38</v>
      </c>
      <c r="B194" s="133" t="s">
        <v>466</v>
      </c>
      <c r="C194" s="134" t="s">
        <v>482</v>
      </c>
      <c r="D194" s="135" t="s">
        <v>94</v>
      </c>
      <c r="E194" s="135" t="s">
        <v>40</v>
      </c>
      <c r="F194" s="135" t="s">
        <v>483</v>
      </c>
      <c r="G194" s="135" t="s">
        <v>468</v>
      </c>
      <c r="H194" s="135">
        <v>7</v>
      </c>
      <c r="I194" s="135">
        <v>7</v>
      </c>
      <c r="J194" s="135" t="s">
        <v>42</v>
      </c>
    </row>
    <row r="195" spans="1:10" s="46" customFormat="1" ht="12.75" x14ac:dyDescent="0.2">
      <c r="A195" s="133">
        <v>39</v>
      </c>
      <c r="B195" s="133" t="s">
        <v>469</v>
      </c>
      <c r="C195" s="134" t="s">
        <v>484</v>
      </c>
      <c r="D195" s="135" t="s">
        <v>88</v>
      </c>
      <c r="E195" s="135" t="s">
        <v>40</v>
      </c>
      <c r="F195" s="135" t="s">
        <v>457</v>
      </c>
      <c r="G195" s="135" t="s">
        <v>468</v>
      </c>
      <c r="H195" s="135">
        <v>11</v>
      </c>
      <c r="I195" s="135">
        <v>10</v>
      </c>
      <c r="J195" s="135" t="s">
        <v>69</v>
      </c>
    </row>
    <row r="196" spans="1:10" s="46" customFormat="1" ht="25.5" x14ac:dyDescent="0.2">
      <c r="A196" s="133">
        <v>40</v>
      </c>
      <c r="B196" s="133" t="s">
        <v>466</v>
      </c>
      <c r="C196" s="134" t="s">
        <v>485</v>
      </c>
      <c r="D196" s="135" t="s">
        <v>94</v>
      </c>
      <c r="E196" s="135" t="s">
        <v>40</v>
      </c>
      <c r="F196" s="135" t="s">
        <v>429</v>
      </c>
      <c r="G196" s="135" t="s">
        <v>468</v>
      </c>
      <c r="H196" s="135">
        <v>7</v>
      </c>
      <c r="I196" s="135">
        <v>7</v>
      </c>
      <c r="J196" s="135" t="s">
        <v>42</v>
      </c>
    </row>
    <row r="197" spans="1:10" s="46" customFormat="1" ht="12.75" x14ac:dyDescent="0.2">
      <c r="A197" s="133">
        <v>41</v>
      </c>
      <c r="B197" s="133" t="s">
        <v>469</v>
      </c>
      <c r="C197" s="134" t="s">
        <v>486</v>
      </c>
      <c r="D197" s="135" t="s">
        <v>88</v>
      </c>
      <c r="E197" s="135" t="s">
        <v>40</v>
      </c>
      <c r="F197" s="135" t="s">
        <v>431</v>
      </c>
      <c r="G197" s="135" t="s">
        <v>468</v>
      </c>
      <c r="H197" s="135">
        <v>11</v>
      </c>
      <c r="I197" s="135">
        <v>10</v>
      </c>
      <c r="J197" s="135" t="s">
        <v>69</v>
      </c>
    </row>
    <row r="198" spans="1:10" s="46" customFormat="1" ht="12.75" x14ac:dyDescent="0.2">
      <c r="A198" s="133">
        <v>42</v>
      </c>
      <c r="B198" s="130" t="s">
        <v>183</v>
      </c>
      <c r="C198" s="131" t="s">
        <v>487</v>
      </c>
      <c r="D198" s="135" t="s">
        <v>94</v>
      </c>
      <c r="E198" s="132" t="s">
        <v>40</v>
      </c>
      <c r="F198" s="132" t="s">
        <v>488</v>
      </c>
      <c r="G198" s="132" t="s">
        <v>186</v>
      </c>
      <c r="H198" s="132">
        <v>19</v>
      </c>
      <c r="I198" s="132">
        <v>18</v>
      </c>
      <c r="J198" s="132" t="s">
        <v>81</v>
      </c>
    </row>
    <row r="199" spans="1:10" s="46" customFormat="1" ht="12.75" x14ac:dyDescent="0.2">
      <c r="A199" s="133">
        <v>43</v>
      </c>
      <c r="B199" s="133" t="s">
        <v>183</v>
      </c>
      <c r="C199" s="134" t="s">
        <v>489</v>
      </c>
      <c r="D199" s="135" t="s">
        <v>94</v>
      </c>
      <c r="E199" s="135" t="s">
        <v>40</v>
      </c>
      <c r="F199" s="135" t="s">
        <v>490</v>
      </c>
      <c r="G199" s="135" t="s">
        <v>186</v>
      </c>
      <c r="H199" s="135">
        <v>19</v>
      </c>
      <c r="I199" s="135">
        <v>18</v>
      </c>
      <c r="J199" s="135" t="s">
        <v>81</v>
      </c>
    </row>
    <row r="200" spans="1:10" s="46" customFormat="1" ht="12.75" x14ac:dyDescent="0.2">
      <c r="A200" s="133">
        <v>44</v>
      </c>
      <c r="B200" s="133" t="s">
        <v>183</v>
      </c>
      <c r="C200" s="151" t="s">
        <v>491</v>
      </c>
      <c r="D200" s="135" t="s">
        <v>94</v>
      </c>
      <c r="E200" s="135" t="s">
        <v>40</v>
      </c>
      <c r="F200" s="135" t="s">
        <v>452</v>
      </c>
      <c r="G200" s="135" t="s">
        <v>186</v>
      </c>
      <c r="H200" s="135">
        <v>19</v>
      </c>
      <c r="I200" s="135">
        <v>18</v>
      </c>
      <c r="J200" s="135" t="s">
        <v>81</v>
      </c>
    </row>
    <row r="201" spans="1:10" s="46" customFormat="1" ht="12.75" x14ac:dyDescent="0.2">
      <c r="A201" s="133">
        <v>45</v>
      </c>
      <c r="B201" s="133" t="s">
        <v>183</v>
      </c>
      <c r="C201" s="131" t="s">
        <v>492</v>
      </c>
      <c r="D201" s="135" t="s">
        <v>94</v>
      </c>
      <c r="E201" s="135" t="s">
        <v>40</v>
      </c>
      <c r="F201" s="135" t="s">
        <v>452</v>
      </c>
      <c r="G201" s="135" t="s">
        <v>186</v>
      </c>
      <c r="H201" s="135">
        <v>19</v>
      </c>
      <c r="I201" s="135">
        <v>18</v>
      </c>
      <c r="J201" s="135" t="s">
        <v>81</v>
      </c>
    </row>
    <row r="202" spans="1:10" s="46" customFormat="1" ht="12.75" x14ac:dyDescent="0.2">
      <c r="A202" s="133">
        <v>46</v>
      </c>
      <c r="B202" s="133" t="s">
        <v>183</v>
      </c>
      <c r="C202" s="134" t="s">
        <v>493</v>
      </c>
      <c r="D202" s="135" t="s">
        <v>94</v>
      </c>
      <c r="E202" s="135" t="s">
        <v>40</v>
      </c>
      <c r="F202" s="135" t="s">
        <v>454</v>
      </c>
      <c r="G202" s="135" t="s">
        <v>186</v>
      </c>
      <c r="H202" s="135">
        <v>19</v>
      </c>
      <c r="I202" s="135">
        <v>18</v>
      </c>
      <c r="J202" s="135" t="s">
        <v>81</v>
      </c>
    </row>
    <row r="203" spans="1:10" s="46" customFormat="1" ht="12.75" x14ac:dyDescent="0.2">
      <c r="A203" s="133">
        <v>47</v>
      </c>
      <c r="B203" s="133" t="s">
        <v>183</v>
      </c>
      <c r="C203" s="134" t="s">
        <v>494</v>
      </c>
      <c r="D203" s="135" t="s">
        <v>94</v>
      </c>
      <c r="E203" s="135" t="s">
        <v>40</v>
      </c>
      <c r="F203" s="135" t="s">
        <v>454</v>
      </c>
      <c r="G203" s="135" t="s">
        <v>186</v>
      </c>
      <c r="H203" s="135">
        <v>19</v>
      </c>
      <c r="I203" s="135">
        <v>18</v>
      </c>
      <c r="J203" s="135" t="s">
        <v>81</v>
      </c>
    </row>
    <row r="204" spans="1:10" s="46" customFormat="1" ht="12.75" x14ac:dyDescent="0.2">
      <c r="A204" s="133">
        <v>48</v>
      </c>
      <c r="B204" s="133" t="s">
        <v>198</v>
      </c>
      <c r="C204" s="134" t="s">
        <v>495</v>
      </c>
      <c r="D204" s="135" t="s">
        <v>88</v>
      </c>
      <c r="E204" s="135" t="s">
        <v>40</v>
      </c>
      <c r="F204" s="135" t="s">
        <v>496</v>
      </c>
      <c r="G204" s="135" t="s">
        <v>186</v>
      </c>
      <c r="H204" s="135">
        <v>13</v>
      </c>
      <c r="I204" s="135">
        <v>13</v>
      </c>
      <c r="J204" s="135" t="s">
        <v>81</v>
      </c>
    </row>
    <row r="205" spans="1:10" s="46" customFormat="1" ht="12.75" x14ac:dyDescent="0.2">
      <c r="A205" s="133">
        <v>49</v>
      </c>
      <c r="B205" s="133" t="s">
        <v>198</v>
      </c>
      <c r="C205" s="134" t="s">
        <v>497</v>
      </c>
      <c r="D205" s="135" t="s">
        <v>88</v>
      </c>
      <c r="E205" s="135" t="s">
        <v>40</v>
      </c>
      <c r="F205" s="135" t="s">
        <v>498</v>
      </c>
      <c r="G205" s="135" t="s">
        <v>186</v>
      </c>
      <c r="H205" s="135">
        <v>13</v>
      </c>
      <c r="I205" s="135">
        <v>13</v>
      </c>
      <c r="J205" s="135" t="s">
        <v>81</v>
      </c>
    </row>
    <row r="206" spans="1:10" s="46" customFormat="1" ht="12.75" x14ac:dyDescent="0.2">
      <c r="A206" s="133">
        <v>50</v>
      </c>
      <c r="B206" s="133" t="s">
        <v>198</v>
      </c>
      <c r="C206" s="134" t="s">
        <v>499</v>
      </c>
      <c r="D206" s="135" t="s">
        <v>88</v>
      </c>
      <c r="E206" s="135" t="s">
        <v>40</v>
      </c>
      <c r="F206" s="135" t="s">
        <v>481</v>
      </c>
      <c r="G206" s="135" t="s">
        <v>186</v>
      </c>
      <c r="H206" s="135">
        <v>13</v>
      </c>
      <c r="I206" s="135">
        <v>13</v>
      </c>
      <c r="J206" s="135" t="s">
        <v>81</v>
      </c>
    </row>
    <row r="207" spans="1:10" s="46" customFormat="1" ht="12.75" x14ac:dyDescent="0.2">
      <c r="A207" s="133">
        <v>51</v>
      </c>
      <c r="B207" s="133" t="s">
        <v>198</v>
      </c>
      <c r="C207" s="134" t="s">
        <v>500</v>
      </c>
      <c r="D207" s="135" t="s">
        <v>88</v>
      </c>
      <c r="E207" s="135" t="s">
        <v>40</v>
      </c>
      <c r="F207" s="135" t="s">
        <v>501</v>
      </c>
      <c r="G207" s="135" t="s">
        <v>186</v>
      </c>
      <c r="H207" s="135">
        <v>13</v>
      </c>
      <c r="I207" s="135">
        <v>13</v>
      </c>
      <c r="J207" s="135" t="s">
        <v>81</v>
      </c>
    </row>
    <row r="208" spans="1:10" s="46" customFormat="1" ht="12.75" x14ac:dyDescent="0.2">
      <c r="A208" s="133">
        <v>52</v>
      </c>
      <c r="B208" s="133" t="s">
        <v>198</v>
      </c>
      <c r="C208" s="134" t="s">
        <v>502</v>
      </c>
      <c r="D208" s="135" t="s">
        <v>88</v>
      </c>
      <c r="E208" s="135" t="s">
        <v>40</v>
      </c>
      <c r="F208" s="135" t="s">
        <v>501</v>
      </c>
      <c r="G208" s="135" t="s">
        <v>186</v>
      </c>
      <c r="H208" s="135">
        <v>13</v>
      </c>
      <c r="I208" s="135">
        <v>13</v>
      </c>
      <c r="J208" s="135" t="s">
        <v>81</v>
      </c>
    </row>
    <row r="209" spans="1:10" s="46" customFormat="1" ht="25.5" x14ac:dyDescent="0.2">
      <c r="A209" s="133">
        <v>53</v>
      </c>
      <c r="B209" s="133" t="s">
        <v>207</v>
      </c>
      <c r="C209" s="134" t="s">
        <v>503</v>
      </c>
      <c r="D209" s="132" t="s">
        <v>79</v>
      </c>
      <c r="E209" s="135" t="s">
        <v>40</v>
      </c>
      <c r="F209" s="135" t="s">
        <v>504</v>
      </c>
      <c r="G209" s="135" t="s">
        <v>186</v>
      </c>
      <c r="H209" s="135">
        <v>21</v>
      </c>
      <c r="I209" s="135">
        <v>18</v>
      </c>
      <c r="J209" s="135" t="s">
        <v>81</v>
      </c>
    </row>
    <row r="210" spans="1:10" s="46" customFormat="1" ht="25.5" x14ac:dyDescent="0.2">
      <c r="A210" s="133">
        <v>54</v>
      </c>
      <c r="B210" s="133" t="s">
        <v>207</v>
      </c>
      <c r="C210" s="134" t="s">
        <v>505</v>
      </c>
      <c r="D210" s="132" t="s">
        <v>79</v>
      </c>
      <c r="E210" s="135" t="s">
        <v>40</v>
      </c>
      <c r="F210" s="135" t="s">
        <v>506</v>
      </c>
      <c r="G210" s="135" t="s">
        <v>186</v>
      </c>
      <c r="H210" s="135">
        <v>21</v>
      </c>
      <c r="I210" s="135">
        <v>18</v>
      </c>
      <c r="J210" s="135" t="s">
        <v>81</v>
      </c>
    </row>
    <row r="211" spans="1:10" s="46" customFormat="1" ht="12.75" x14ac:dyDescent="0.2">
      <c r="A211" s="133">
        <v>55</v>
      </c>
      <c r="B211" s="133" t="s">
        <v>207</v>
      </c>
      <c r="C211" s="134" t="s">
        <v>507</v>
      </c>
      <c r="D211" s="132" t="s">
        <v>79</v>
      </c>
      <c r="E211" s="135" t="s">
        <v>40</v>
      </c>
      <c r="F211" s="135" t="s">
        <v>429</v>
      </c>
      <c r="G211" s="135" t="s">
        <v>186</v>
      </c>
      <c r="H211" s="135">
        <v>21</v>
      </c>
      <c r="I211" s="135">
        <v>18</v>
      </c>
      <c r="J211" s="135" t="s">
        <v>81</v>
      </c>
    </row>
    <row r="212" spans="1:10" s="46" customFormat="1" ht="12.75" x14ac:dyDescent="0.2">
      <c r="A212" s="133">
        <v>56</v>
      </c>
      <c r="B212" s="133" t="s">
        <v>207</v>
      </c>
      <c r="C212" s="134" t="s">
        <v>508</v>
      </c>
      <c r="D212" s="132" t="s">
        <v>79</v>
      </c>
      <c r="E212" s="135" t="s">
        <v>40</v>
      </c>
      <c r="F212" s="135" t="s">
        <v>501</v>
      </c>
      <c r="G212" s="135" t="s">
        <v>186</v>
      </c>
      <c r="H212" s="135">
        <v>21</v>
      </c>
      <c r="I212" s="135">
        <v>18</v>
      </c>
      <c r="J212" s="135" t="s">
        <v>81</v>
      </c>
    </row>
    <row r="213" spans="1:10" s="46" customFormat="1" ht="25.5" x14ac:dyDescent="0.2">
      <c r="A213" s="133">
        <v>57</v>
      </c>
      <c r="B213" s="152" t="s">
        <v>37</v>
      </c>
      <c r="C213" s="152" t="s">
        <v>509</v>
      </c>
      <c r="D213" s="132" t="s">
        <v>79</v>
      </c>
      <c r="E213" s="153" t="s">
        <v>40</v>
      </c>
      <c r="F213" s="154" t="s">
        <v>510</v>
      </c>
      <c r="G213" s="155" t="s">
        <v>41</v>
      </c>
      <c r="H213" s="155">
        <v>21</v>
      </c>
      <c r="I213" s="155">
        <v>15</v>
      </c>
      <c r="J213" s="155" t="s">
        <v>42</v>
      </c>
    </row>
    <row r="214" spans="1:10" s="46" customFormat="1" ht="38.25" x14ac:dyDescent="0.2">
      <c r="A214" s="133">
        <v>58</v>
      </c>
      <c r="B214" s="152" t="s">
        <v>53</v>
      </c>
      <c r="C214" s="152" t="s">
        <v>511</v>
      </c>
      <c r="D214" s="135" t="s">
        <v>88</v>
      </c>
      <c r="E214" s="153" t="s">
        <v>40</v>
      </c>
      <c r="F214" s="154">
        <v>45033</v>
      </c>
      <c r="G214" s="155" t="s">
        <v>41</v>
      </c>
      <c r="H214" s="155">
        <v>12</v>
      </c>
      <c r="I214" s="155">
        <v>7</v>
      </c>
      <c r="J214" s="155" t="s">
        <v>42</v>
      </c>
    </row>
    <row r="215" spans="1:10" s="46" customFormat="1" ht="25.5" x14ac:dyDescent="0.2">
      <c r="A215" s="133">
        <v>59</v>
      </c>
      <c r="B215" s="152" t="s">
        <v>53</v>
      </c>
      <c r="C215" s="152" t="s">
        <v>512</v>
      </c>
      <c r="D215" s="135" t="s">
        <v>88</v>
      </c>
      <c r="E215" s="153" t="s">
        <v>40</v>
      </c>
      <c r="F215" s="154">
        <v>45035</v>
      </c>
      <c r="G215" s="155" t="s">
        <v>41</v>
      </c>
      <c r="H215" s="155">
        <v>12</v>
      </c>
      <c r="I215" s="155">
        <v>10</v>
      </c>
      <c r="J215" s="155" t="s">
        <v>42</v>
      </c>
    </row>
    <row r="216" spans="1:10" s="46" customFormat="1" ht="25.5" x14ac:dyDescent="0.2">
      <c r="A216" s="133">
        <v>60</v>
      </c>
      <c r="B216" s="152" t="s">
        <v>53</v>
      </c>
      <c r="C216" s="152" t="s">
        <v>513</v>
      </c>
      <c r="D216" s="135" t="s">
        <v>88</v>
      </c>
      <c r="E216" s="153" t="s">
        <v>40</v>
      </c>
      <c r="F216" s="154">
        <v>45041</v>
      </c>
      <c r="G216" s="155" t="s">
        <v>41</v>
      </c>
      <c r="H216" s="155">
        <v>12</v>
      </c>
      <c r="I216" s="155">
        <v>9</v>
      </c>
      <c r="J216" s="155" t="s">
        <v>42</v>
      </c>
    </row>
    <row r="217" spans="1:10" s="46" customFormat="1" ht="30" customHeight="1" x14ac:dyDescent="0.2">
      <c r="A217" s="133">
        <v>61</v>
      </c>
      <c r="B217" s="152" t="s">
        <v>53</v>
      </c>
      <c r="C217" s="152" t="s">
        <v>514</v>
      </c>
      <c r="D217" s="135" t="s">
        <v>88</v>
      </c>
      <c r="E217" s="153" t="s">
        <v>40</v>
      </c>
      <c r="F217" s="154" t="s">
        <v>515</v>
      </c>
      <c r="G217" s="155" t="s">
        <v>41</v>
      </c>
      <c r="H217" s="155">
        <v>12</v>
      </c>
      <c r="I217" s="155">
        <v>7</v>
      </c>
      <c r="J217" s="155" t="s">
        <v>42</v>
      </c>
    </row>
    <row r="218" spans="1:10" s="46" customFormat="1" ht="25.5" x14ac:dyDescent="0.2">
      <c r="A218" s="133">
        <v>62</v>
      </c>
      <c r="B218" s="152" t="s">
        <v>66</v>
      </c>
      <c r="C218" s="152" t="s">
        <v>516</v>
      </c>
      <c r="D218" s="135" t="s">
        <v>94</v>
      </c>
      <c r="E218" s="153" t="s">
        <v>40</v>
      </c>
      <c r="F218" s="154">
        <v>45040</v>
      </c>
      <c r="G218" s="155" t="s">
        <v>41</v>
      </c>
      <c r="H218" s="155">
        <v>10</v>
      </c>
      <c r="I218" s="155">
        <v>5</v>
      </c>
      <c r="J218" s="155" t="s">
        <v>69</v>
      </c>
    </row>
  </sheetData>
  <autoFilter ref="A11:J156" xr:uid="{00000000-0009-0000-0000-000002000000}"/>
  <mergeCells count="21">
    <mergeCell ref="D83:D84"/>
    <mergeCell ref="C83:C84"/>
    <mergeCell ref="B83:B84"/>
    <mergeCell ref="A83:A84"/>
    <mergeCell ref="J83:J84"/>
    <mergeCell ref="I83:I84"/>
    <mergeCell ref="H83:H84"/>
    <mergeCell ref="G83:G84"/>
    <mergeCell ref="E83:E84"/>
    <mergeCell ref="H5:J5"/>
    <mergeCell ref="H6:J6"/>
    <mergeCell ref="H7:J7"/>
    <mergeCell ref="A8:J9"/>
    <mergeCell ref="H95:H96"/>
    <mergeCell ref="I95:I96"/>
    <mergeCell ref="J95:J96"/>
    <mergeCell ref="B95:B96"/>
    <mergeCell ref="D95:D96"/>
    <mergeCell ref="E95:E96"/>
    <mergeCell ref="F95:F96"/>
    <mergeCell ref="G95:G96"/>
  </mergeCells>
  <printOptions horizontalCentered="1"/>
  <pageMargins left="0.31496062992125984" right="0.31496062992125984" top="0.35433070866141736" bottom="0.35433070866141736" header="0.11811023622047245" footer="0.11811023622047245"/>
  <pageSetup scale="60" orientation="landscape" r:id="rId1"/>
  <headerFooter>
    <oddHeader>&amp;R&amp;"Candara,Cursiva"&amp;10B.D. Indicadores del PTA</oddHeader>
    <oddFooter>&amp;R&amp;"Candara,Normal"&amp;10Página &amp;P de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05C1-FD32-4890-821A-15B5DD3ACBD3}">
  <sheetPr>
    <tabColor theme="5"/>
  </sheetPr>
  <dimension ref="A1:I80"/>
  <sheetViews>
    <sheetView showWhiteSpace="0" zoomScale="90" zoomScaleNormal="90" zoomScaleSheetLayoutView="85" zoomScalePageLayoutView="70" workbookViewId="0">
      <selection activeCell="C18" sqref="C18"/>
    </sheetView>
  </sheetViews>
  <sheetFormatPr baseColWidth="10" defaultColWidth="11.42578125" defaultRowHeight="15" x14ac:dyDescent="0.25"/>
  <cols>
    <col min="1" max="1" width="8.42578125" customWidth="1"/>
    <col min="2" max="2" width="37.85546875" customWidth="1"/>
    <col min="3" max="3" width="25.140625" bestFit="1" customWidth="1"/>
    <col min="4" max="4" width="38" customWidth="1"/>
    <col min="5" max="7" width="14.28515625" customWidth="1"/>
    <col min="8" max="8" width="8.42578125" customWidth="1"/>
    <col min="10" max="10" width="35.42578125" bestFit="1" customWidth="1"/>
  </cols>
  <sheetData>
    <row r="1" spans="1:9" s="25" customFormat="1" ht="21" x14ac:dyDescent="0.25">
      <c r="A1" s="1" t="s">
        <v>0</v>
      </c>
      <c r="E1"/>
      <c r="F1"/>
      <c r="G1"/>
      <c r="H1"/>
      <c r="I1"/>
    </row>
    <row r="2" spans="1:9" s="25" customFormat="1" x14ac:dyDescent="0.25">
      <c r="A2" s="5" t="s">
        <v>1</v>
      </c>
      <c r="D2" s="5"/>
      <c r="E2"/>
      <c r="F2"/>
      <c r="G2"/>
      <c r="H2"/>
      <c r="I2"/>
    </row>
    <row r="3" spans="1:9" s="25" customFormat="1" ht="20.25" customHeight="1" thickBot="1" x14ac:dyDescent="0.3">
      <c r="A3" s="6" t="s">
        <v>522</v>
      </c>
      <c r="B3" s="6"/>
      <c r="C3" s="7"/>
      <c r="D3" s="7"/>
      <c r="E3"/>
      <c r="F3"/>
      <c r="G3"/>
      <c r="H3"/>
      <c r="I3"/>
    </row>
    <row r="4" spans="1:9" ht="7.5" customHeight="1" thickTop="1" x14ac:dyDescent="0.25"/>
    <row r="5" spans="1:9" ht="21.75" customHeight="1" x14ac:dyDescent="0.25">
      <c r="A5" s="179" t="s">
        <v>541</v>
      </c>
      <c r="B5" s="179"/>
      <c r="C5" s="179"/>
    </row>
    <row r="6" spans="1:9" ht="15" customHeight="1" x14ac:dyDescent="0.25">
      <c r="A6" s="182" t="s">
        <v>540</v>
      </c>
      <c r="B6" s="182"/>
      <c r="C6" s="182"/>
      <c r="D6" s="182"/>
    </row>
    <row r="8" spans="1:9" s="34" customFormat="1" ht="39.75" customHeight="1" x14ac:dyDescent="0.25">
      <c r="A8" s="17" t="s">
        <v>27</v>
      </c>
      <c r="B8" s="33" t="s">
        <v>2</v>
      </c>
      <c r="C8" s="18" t="s">
        <v>341</v>
      </c>
      <c r="D8" s="17" t="s">
        <v>342</v>
      </c>
      <c r="E8"/>
      <c r="F8"/>
      <c r="G8"/>
      <c r="H8"/>
      <c r="I8"/>
    </row>
    <row r="9" spans="1:9" x14ac:dyDescent="0.25">
      <c r="A9" s="64">
        <v>1</v>
      </c>
      <c r="B9" s="65" t="s">
        <v>3</v>
      </c>
      <c r="C9" s="66">
        <v>0</v>
      </c>
      <c r="D9" s="66">
        <v>2</v>
      </c>
    </row>
    <row r="10" spans="1:9" x14ac:dyDescent="0.25">
      <c r="A10" s="64">
        <v>2</v>
      </c>
      <c r="B10" s="65" t="s">
        <v>3</v>
      </c>
      <c r="C10" s="66">
        <v>0</v>
      </c>
      <c r="D10" s="66">
        <v>3</v>
      </c>
    </row>
    <row r="11" spans="1:9" x14ac:dyDescent="0.25">
      <c r="A11" s="64">
        <v>3</v>
      </c>
      <c r="B11" s="65" t="s">
        <v>3</v>
      </c>
      <c r="C11" s="66">
        <v>0</v>
      </c>
      <c r="D11" s="66">
        <v>0</v>
      </c>
    </row>
    <row r="12" spans="1:9" x14ac:dyDescent="0.25">
      <c r="A12" s="64">
        <v>4</v>
      </c>
      <c r="B12" s="65" t="s">
        <v>3</v>
      </c>
      <c r="C12" s="66">
        <v>0</v>
      </c>
      <c r="D12" s="66">
        <v>1</v>
      </c>
    </row>
    <row r="13" spans="1:9" x14ac:dyDescent="0.25">
      <c r="A13" s="64">
        <v>5</v>
      </c>
      <c r="B13" s="65" t="s">
        <v>3</v>
      </c>
      <c r="C13" s="66">
        <v>0</v>
      </c>
      <c r="D13" s="66">
        <v>8</v>
      </c>
    </row>
    <row r="14" spans="1:9" x14ac:dyDescent="0.25">
      <c r="A14" s="64">
        <v>6</v>
      </c>
      <c r="B14" s="65" t="s">
        <v>3</v>
      </c>
      <c r="C14" s="66">
        <v>0</v>
      </c>
      <c r="D14" s="66">
        <v>8</v>
      </c>
    </row>
    <row r="15" spans="1:9" x14ac:dyDescent="0.25">
      <c r="A15" s="64">
        <v>7</v>
      </c>
      <c r="B15" s="65" t="s">
        <v>3</v>
      </c>
      <c r="C15" s="66">
        <v>0</v>
      </c>
      <c r="D15" s="66">
        <v>8</v>
      </c>
    </row>
    <row r="16" spans="1:9" x14ac:dyDescent="0.25">
      <c r="A16" s="64">
        <v>8</v>
      </c>
      <c r="B16" s="65" t="s">
        <v>3</v>
      </c>
      <c r="C16" s="66">
        <v>0</v>
      </c>
      <c r="D16" s="66">
        <v>8</v>
      </c>
    </row>
    <row r="17" spans="1:4" x14ac:dyDescent="0.25">
      <c r="A17" s="64">
        <v>9</v>
      </c>
      <c r="B17" s="65" t="s">
        <v>3</v>
      </c>
      <c r="C17" s="66">
        <v>0</v>
      </c>
      <c r="D17" s="66">
        <v>8</v>
      </c>
    </row>
    <row r="18" spans="1:4" x14ac:dyDescent="0.25">
      <c r="A18" s="64">
        <v>10</v>
      </c>
      <c r="B18" s="65" t="s">
        <v>3</v>
      </c>
      <c r="C18" s="66">
        <v>0</v>
      </c>
      <c r="D18" s="66">
        <v>7</v>
      </c>
    </row>
    <row r="19" spans="1:4" x14ac:dyDescent="0.25">
      <c r="A19" s="64">
        <v>11</v>
      </c>
      <c r="B19" s="65" t="s">
        <v>3</v>
      </c>
      <c r="C19" s="66">
        <v>0</v>
      </c>
      <c r="D19" s="66">
        <v>7</v>
      </c>
    </row>
    <row r="20" spans="1:4" x14ac:dyDescent="0.25">
      <c r="A20" s="64">
        <v>12</v>
      </c>
      <c r="B20" s="65" t="s">
        <v>3</v>
      </c>
      <c r="C20" s="66">
        <v>0</v>
      </c>
      <c r="D20" s="66">
        <v>1</v>
      </c>
    </row>
    <row r="21" spans="1:4" x14ac:dyDescent="0.25">
      <c r="A21" s="64">
        <v>13</v>
      </c>
      <c r="B21" s="65" t="s">
        <v>3</v>
      </c>
      <c r="C21" s="66">
        <v>0</v>
      </c>
      <c r="D21" s="66">
        <v>5</v>
      </c>
    </row>
    <row r="22" spans="1:4" x14ac:dyDescent="0.25">
      <c r="A22" s="64">
        <v>14</v>
      </c>
      <c r="B22" s="65" t="s">
        <v>3</v>
      </c>
      <c r="C22" s="66">
        <v>0</v>
      </c>
      <c r="D22" s="66">
        <v>10</v>
      </c>
    </row>
    <row r="23" spans="1:4" x14ac:dyDescent="0.25">
      <c r="A23" s="64">
        <v>15</v>
      </c>
      <c r="B23" s="65" t="s">
        <v>3</v>
      </c>
      <c r="C23" s="66">
        <v>0</v>
      </c>
      <c r="D23" s="66">
        <v>0</v>
      </c>
    </row>
    <row r="24" spans="1:4" x14ac:dyDescent="0.25">
      <c r="A24" s="64">
        <v>16</v>
      </c>
      <c r="B24" s="65" t="s">
        <v>3</v>
      </c>
      <c r="C24" s="66">
        <v>0</v>
      </c>
      <c r="D24" s="66">
        <v>7</v>
      </c>
    </row>
    <row r="25" spans="1:4" x14ac:dyDescent="0.25">
      <c r="A25" s="64">
        <v>17</v>
      </c>
      <c r="B25" s="65" t="s">
        <v>3</v>
      </c>
      <c r="C25" s="66">
        <v>0</v>
      </c>
      <c r="D25" s="66">
        <v>5</v>
      </c>
    </row>
    <row r="26" spans="1:4" x14ac:dyDescent="0.25">
      <c r="A26" s="64">
        <v>18</v>
      </c>
      <c r="B26" s="65" t="s">
        <v>3</v>
      </c>
      <c r="C26" s="66">
        <v>0</v>
      </c>
      <c r="D26" s="66">
        <v>10</v>
      </c>
    </row>
    <row r="27" spans="1:4" x14ac:dyDescent="0.25">
      <c r="A27" s="64">
        <v>19</v>
      </c>
      <c r="B27" s="65" t="s">
        <v>3</v>
      </c>
      <c r="C27" s="66">
        <v>0</v>
      </c>
      <c r="D27" s="66">
        <v>20</v>
      </c>
    </row>
    <row r="28" spans="1:4" x14ac:dyDescent="0.25">
      <c r="A28" s="64">
        <v>20</v>
      </c>
      <c r="B28" s="65" t="s">
        <v>3</v>
      </c>
      <c r="C28" s="66">
        <v>0</v>
      </c>
      <c r="D28" s="66">
        <v>0</v>
      </c>
    </row>
    <row r="29" spans="1:4" x14ac:dyDescent="0.25">
      <c r="A29" s="64">
        <v>21</v>
      </c>
      <c r="B29" s="65" t="s">
        <v>3</v>
      </c>
      <c r="C29" s="66">
        <v>0</v>
      </c>
      <c r="D29" s="66">
        <v>0</v>
      </c>
    </row>
    <row r="30" spans="1:4" x14ac:dyDescent="0.25">
      <c r="A30" s="64">
        <v>22</v>
      </c>
      <c r="B30" s="65" t="s">
        <v>3</v>
      </c>
      <c r="C30" s="66">
        <v>0</v>
      </c>
      <c r="D30" s="66">
        <v>8</v>
      </c>
    </row>
    <row r="31" spans="1:4" x14ac:dyDescent="0.25">
      <c r="A31" s="64">
        <v>23</v>
      </c>
      <c r="B31" s="65" t="s">
        <v>3</v>
      </c>
      <c r="C31" s="66">
        <v>0</v>
      </c>
      <c r="D31" s="66">
        <v>6</v>
      </c>
    </row>
    <row r="32" spans="1:4" x14ac:dyDescent="0.25">
      <c r="A32" s="64">
        <v>24</v>
      </c>
      <c r="B32" s="65" t="s">
        <v>3</v>
      </c>
      <c r="C32" s="66">
        <v>0</v>
      </c>
      <c r="D32" s="66">
        <v>2</v>
      </c>
    </row>
    <row r="33" spans="1:4" x14ac:dyDescent="0.25">
      <c r="A33" s="64">
        <v>25</v>
      </c>
      <c r="B33" s="65" t="s">
        <v>3</v>
      </c>
      <c r="C33" s="66">
        <v>0</v>
      </c>
      <c r="D33" s="66">
        <v>2</v>
      </c>
    </row>
    <row r="34" spans="1:4" x14ac:dyDescent="0.25">
      <c r="A34" s="64">
        <v>26</v>
      </c>
      <c r="B34" s="65" t="s">
        <v>3</v>
      </c>
      <c r="C34" s="66">
        <v>0</v>
      </c>
      <c r="D34" s="66">
        <v>7</v>
      </c>
    </row>
    <row r="35" spans="1:4" x14ac:dyDescent="0.25">
      <c r="A35" s="64">
        <v>27</v>
      </c>
      <c r="B35" s="65" t="s">
        <v>3</v>
      </c>
      <c r="C35" s="66">
        <v>0</v>
      </c>
      <c r="D35" s="66">
        <v>4</v>
      </c>
    </row>
    <row r="36" spans="1:4" x14ac:dyDescent="0.25">
      <c r="A36" s="64">
        <v>28</v>
      </c>
      <c r="B36" s="65" t="s">
        <v>3</v>
      </c>
      <c r="C36" s="66">
        <v>0</v>
      </c>
      <c r="D36" s="66">
        <v>3</v>
      </c>
    </row>
    <row r="37" spans="1:4" x14ac:dyDescent="0.25">
      <c r="A37" s="64">
        <v>29</v>
      </c>
      <c r="B37" s="65" t="s">
        <v>3</v>
      </c>
      <c r="C37" s="66">
        <v>0</v>
      </c>
      <c r="D37" s="66">
        <v>2</v>
      </c>
    </row>
    <row r="38" spans="1:4" x14ac:dyDescent="0.25">
      <c r="A38" s="64">
        <v>30</v>
      </c>
      <c r="B38" s="65" t="s">
        <v>3</v>
      </c>
      <c r="C38" s="66">
        <v>0</v>
      </c>
      <c r="D38" s="66">
        <v>0</v>
      </c>
    </row>
    <row r="39" spans="1:4" x14ac:dyDescent="0.25">
      <c r="A39" s="64">
        <v>31</v>
      </c>
      <c r="B39" s="65" t="s">
        <v>3</v>
      </c>
      <c r="C39" s="66">
        <v>0</v>
      </c>
      <c r="D39" s="66">
        <v>0</v>
      </c>
    </row>
    <row r="40" spans="1:4" x14ac:dyDescent="0.25">
      <c r="A40" s="64">
        <v>32</v>
      </c>
      <c r="B40" s="65" t="s">
        <v>3</v>
      </c>
      <c r="C40" s="66">
        <v>0</v>
      </c>
      <c r="D40" s="66">
        <v>5</v>
      </c>
    </row>
    <row r="41" spans="1:4" x14ac:dyDescent="0.25">
      <c r="A41" s="64">
        <v>33</v>
      </c>
      <c r="B41" s="65" t="s">
        <v>3</v>
      </c>
      <c r="C41" s="66">
        <v>0</v>
      </c>
      <c r="D41" s="66">
        <v>6</v>
      </c>
    </row>
    <row r="42" spans="1:4" x14ac:dyDescent="0.25">
      <c r="A42" s="64">
        <v>34</v>
      </c>
      <c r="B42" s="65" t="s">
        <v>3</v>
      </c>
      <c r="C42" s="66">
        <v>0</v>
      </c>
      <c r="D42" s="66">
        <v>3</v>
      </c>
    </row>
    <row r="43" spans="1:4" x14ac:dyDescent="0.25">
      <c r="A43" s="64">
        <v>35</v>
      </c>
      <c r="B43" s="65" t="s">
        <v>3</v>
      </c>
      <c r="C43" s="66">
        <v>0</v>
      </c>
      <c r="D43" s="66">
        <v>2</v>
      </c>
    </row>
    <row r="44" spans="1:4" x14ac:dyDescent="0.25">
      <c r="A44" s="156">
        <v>1</v>
      </c>
      <c r="B44" s="162" t="s">
        <v>3</v>
      </c>
      <c r="C44" s="158">
        <v>0</v>
      </c>
      <c r="D44" s="158">
        <v>2</v>
      </c>
    </row>
    <row r="45" spans="1:4" x14ac:dyDescent="0.25">
      <c r="A45" s="156">
        <v>2</v>
      </c>
      <c r="B45" s="162" t="s">
        <v>3</v>
      </c>
      <c r="C45" s="158">
        <v>0</v>
      </c>
      <c r="D45" s="158">
        <v>3</v>
      </c>
    </row>
    <row r="46" spans="1:4" x14ac:dyDescent="0.25">
      <c r="A46" s="156">
        <v>3</v>
      </c>
      <c r="B46" s="162" t="s">
        <v>3</v>
      </c>
      <c r="C46" s="158">
        <v>0</v>
      </c>
      <c r="D46" s="158">
        <v>0</v>
      </c>
    </row>
    <row r="47" spans="1:4" x14ac:dyDescent="0.25">
      <c r="A47" s="156">
        <v>4</v>
      </c>
      <c r="B47" s="162" t="s">
        <v>3</v>
      </c>
      <c r="C47" s="158">
        <v>0</v>
      </c>
      <c r="D47" s="158">
        <v>1</v>
      </c>
    </row>
    <row r="48" spans="1:4" x14ac:dyDescent="0.25">
      <c r="A48" s="156">
        <v>5</v>
      </c>
      <c r="B48" s="162" t="s">
        <v>3</v>
      </c>
      <c r="C48" s="158">
        <v>0</v>
      </c>
      <c r="D48" s="158">
        <v>8</v>
      </c>
    </row>
    <row r="49" spans="1:4" x14ac:dyDescent="0.25">
      <c r="A49" s="156">
        <v>6</v>
      </c>
      <c r="B49" s="162" t="s">
        <v>3</v>
      </c>
      <c r="C49" s="158">
        <v>0</v>
      </c>
      <c r="D49" s="158">
        <v>8</v>
      </c>
    </row>
    <row r="50" spans="1:4" x14ac:dyDescent="0.25">
      <c r="A50" s="156">
        <v>7</v>
      </c>
      <c r="B50" s="162" t="s">
        <v>3</v>
      </c>
      <c r="C50" s="158">
        <v>0</v>
      </c>
      <c r="D50" s="158">
        <v>10</v>
      </c>
    </row>
    <row r="51" spans="1:4" x14ac:dyDescent="0.25">
      <c r="A51" s="156">
        <v>8</v>
      </c>
      <c r="B51" s="162" t="s">
        <v>3</v>
      </c>
      <c r="C51" s="158">
        <v>0</v>
      </c>
      <c r="D51" s="158">
        <v>8</v>
      </c>
    </row>
    <row r="52" spans="1:4" x14ac:dyDescent="0.25">
      <c r="A52" s="156">
        <v>9</v>
      </c>
      <c r="B52" s="162" t="s">
        <v>3</v>
      </c>
      <c r="C52" s="158">
        <v>0</v>
      </c>
      <c r="D52" s="158">
        <v>12</v>
      </c>
    </row>
    <row r="53" spans="1:4" x14ac:dyDescent="0.25">
      <c r="A53" s="156">
        <v>10</v>
      </c>
      <c r="B53" s="162" t="s">
        <v>3</v>
      </c>
      <c r="C53" s="158">
        <v>0</v>
      </c>
      <c r="D53" s="158">
        <v>7</v>
      </c>
    </row>
    <row r="54" spans="1:4" x14ac:dyDescent="0.25">
      <c r="A54" s="156">
        <v>11</v>
      </c>
      <c r="B54" s="162" t="s">
        <v>3</v>
      </c>
      <c r="C54" s="158">
        <v>0</v>
      </c>
      <c r="D54" s="158">
        <v>8</v>
      </c>
    </row>
    <row r="55" spans="1:4" x14ac:dyDescent="0.25">
      <c r="A55" s="156">
        <v>12</v>
      </c>
      <c r="B55" s="162" t="s">
        <v>3</v>
      </c>
      <c r="C55" s="158">
        <v>0</v>
      </c>
      <c r="D55" s="158">
        <v>5</v>
      </c>
    </row>
    <row r="56" spans="1:4" x14ac:dyDescent="0.25">
      <c r="A56" s="156">
        <v>13</v>
      </c>
      <c r="B56" s="162" t="s">
        <v>3</v>
      </c>
      <c r="C56" s="158">
        <v>0</v>
      </c>
      <c r="D56" s="158">
        <v>5</v>
      </c>
    </row>
    <row r="57" spans="1:4" x14ac:dyDescent="0.25">
      <c r="A57" s="156">
        <v>14</v>
      </c>
      <c r="B57" s="162" t="s">
        <v>3</v>
      </c>
      <c r="C57" s="158">
        <v>0</v>
      </c>
      <c r="D57" s="158">
        <v>12</v>
      </c>
    </row>
    <row r="58" spans="1:4" x14ac:dyDescent="0.25">
      <c r="A58" s="156">
        <v>15</v>
      </c>
      <c r="B58" s="162" t="s">
        <v>3</v>
      </c>
      <c r="C58" s="158">
        <v>0</v>
      </c>
      <c r="D58" s="158">
        <v>0</v>
      </c>
    </row>
    <row r="59" spans="1:4" x14ac:dyDescent="0.25">
      <c r="A59" s="156">
        <v>16</v>
      </c>
      <c r="B59" s="162" t="s">
        <v>3</v>
      </c>
      <c r="C59" s="158">
        <v>0</v>
      </c>
      <c r="D59" s="160">
        <v>7</v>
      </c>
    </row>
    <row r="60" spans="1:4" x14ac:dyDescent="0.25">
      <c r="A60" s="156">
        <v>17</v>
      </c>
      <c r="B60" s="162" t="s">
        <v>3</v>
      </c>
      <c r="C60" s="158">
        <v>0</v>
      </c>
      <c r="D60" s="160">
        <v>5</v>
      </c>
    </row>
    <row r="61" spans="1:4" x14ac:dyDescent="0.25">
      <c r="A61" s="156">
        <v>18</v>
      </c>
      <c r="B61" s="162" t="s">
        <v>3</v>
      </c>
      <c r="C61" s="158">
        <v>0</v>
      </c>
      <c r="D61" s="160">
        <v>17</v>
      </c>
    </row>
    <row r="62" spans="1:4" x14ac:dyDescent="0.25">
      <c r="A62" s="156">
        <v>19</v>
      </c>
      <c r="B62" s="162" t="s">
        <v>3</v>
      </c>
      <c r="C62" s="158">
        <v>0</v>
      </c>
      <c r="D62" s="160">
        <v>20</v>
      </c>
    </row>
    <row r="63" spans="1:4" x14ac:dyDescent="0.25">
      <c r="A63" s="156">
        <v>20</v>
      </c>
      <c r="B63" s="162" t="s">
        <v>3</v>
      </c>
      <c r="C63" s="158">
        <v>0</v>
      </c>
      <c r="D63" s="160">
        <v>0</v>
      </c>
    </row>
    <row r="64" spans="1:4" x14ac:dyDescent="0.25">
      <c r="A64" s="156">
        <v>21</v>
      </c>
      <c r="B64" s="162" t="s">
        <v>3</v>
      </c>
      <c r="C64" s="158">
        <v>0</v>
      </c>
      <c r="D64" s="160">
        <v>0</v>
      </c>
    </row>
    <row r="65" spans="1:4" x14ac:dyDescent="0.25">
      <c r="A65" s="156">
        <v>22</v>
      </c>
      <c r="B65" s="162" t="s">
        <v>3</v>
      </c>
      <c r="C65" s="158">
        <v>0</v>
      </c>
      <c r="D65" s="158">
        <v>6</v>
      </c>
    </row>
    <row r="66" spans="1:4" x14ac:dyDescent="0.25">
      <c r="A66" s="156">
        <v>23</v>
      </c>
      <c r="B66" s="162" t="s">
        <v>3</v>
      </c>
      <c r="C66" s="158">
        <v>0</v>
      </c>
      <c r="D66" s="158">
        <v>4</v>
      </c>
    </row>
    <row r="67" spans="1:4" x14ac:dyDescent="0.25">
      <c r="A67" s="156">
        <v>24</v>
      </c>
      <c r="B67" s="162" t="s">
        <v>3</v>
      </c>
      <c r="C67" s="158">
        <v>0</v>
      </c>
      <c r="D67" s="158">
        <v>7</v>
      </c>
    </row>
    <row r="68" spans="1:4" x14ac:dyDescent="0.25">
      <c r="A68" s="156">
        <v>25</v>
      </c>
      <c r="B68" s="162" t="s">
        <v>3</v>
      </c>
      <c r="C68" s="158">
        <v>0</v>
      </c>
      <c r="D68" s="158">
        <v>2</v>
      </c>
    </row>
    <row r="69" spans="1:4" x14ac:dyDescent="0.25">
      <c r="A69" s="156">
        <v>26</v>
      </c>
      <c r="B69" s="162" t="s">
        <v>3</v>
      </c>
      <c r="C69" s="158">
        <v>0</v>
      </c>
      <c r="D69" s="158">
        <v>3</v>
      </c>
    </row>
    <row r="70" spans="1:4" x14ac:dyDescent="0.25">
      <c r="A70" s="156">
        <v>27</v>
      </c>
      <c r="B70" s="162" t="s">
        <v>3</v>
      </c>
      <c r="C70" s="158">
        <v>0</v>
      </c>
      <c r="D70" s="158">
        <v>8</v>
      </c>
    </row>
    <row r="71" spans="1:4" x14ac:dyDescent="0.25">
      <c r="A71" s="156">
        <v>28</v>
      </c>
      <c r="B71" s="162" t="s">
        <v>3</v>
      </c>
      <c r="C71" s="158">
        <v>0</v>
      </c>
      <c r="D71" s="158">
        <v>4</v>
      </c>
    </row>
    <row r="72" spans="1:4" x14ac:dyDescent="0.25">
      <c r="A72" s="156">
        <v>29</v>
      </c>
      <c r="B72" s="162" t="s">
        <v>3</v>
      </c>
      <c r="C72" s="158">
        <v>0</v>
      </c>
      <c r="D72" s="158">
        <v>3</v>
      </c>
    </row>
    <row r="73" spans="1:4" x14ac:dyDescent="0.25">
      <c r="A73" s="156">
        <v>30</v>
      </c>
      <c r="B73" s="162" t="s">
        <v>3</v>
      </c>
      <c r="C73" s="158">
        <v>0</v>
      </c>
      <c r="D73" s="158">
        <v>2</v>
      </c>
    </row>
    <row r="74" spans="1:4" x14ac:dyDescent="0.25">
      <c r="A74" s="156">
        <v>31</v>
      </c>
      <c r="B74" s="162" t="s">
        <v>3</v>
      </c>
      <c r="C74" s="158">
        <v>0</v>
      </c>
      <c r="D74" s="158">
        <v>5</v>
      </c>
    </row>
    <row r="75" spans="1:4" x14ac:dyDescent="0.25">
      <c r="A75" s="156">
        <v>32</v>
      </c>
      <c r="B75" s="162" t="s">
        <v>3</v>
      </c>
      <c r="C75" s="158">
        <v>0</v>
      </c>
      <c r="D75" s="161">
        <v>6</v>
      </c>
    </row>
    <row r="76" spans="1:4" x14ac:dyDescent="0.25">
      <c r="A76" s="156">
        <v>33</v>
      </c>
      <c r="B76" s="162" t="s">
        <v>3</v>
      </c>
      <c r="C76" s="158">
        <v>0</v>
      </c>
      <c r="D76" s="158">
        <v>3</v>
      </c>
    </row>
    <row r="77" spans="1:4" x14ac:dyDescent="0.25">
      <c r="A77" s="156">
        <v>34</v>
      </c>
      <c r="B77" s="162" t="s">
        <v>3</v>
      </c>
      <c r="C77" s="158">
        <v>0</v>
      </c>
      <c r="D77" s="158">
        <v>2</v>
      </c>
    </row>
    <row r="78" spans="1:4" ht="30.75" customHeight="1" x14ac:dyDescent="0.25"/>
    <row r="80" spans="1:4" ht="30" customHeight="1" x14ac:dyDescent="0.25"/>
  </sheetData>
  <mergeCells count="1">
    <mergeCell ref="A6:D6"/>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8DBC-78B7-4358-9572-94CB34FFF0AB}">
  <sheetPr>
    <tabColor theme="5"/>
  </sheetPr>
  <dimension ref="A1:P80"/>
  <sheetViews>
    <sheetView showWhiteSpace="0" zoomScale="90" zoomScaleNormal="90" zoomScaleSheetLayoutView="85" zoomScalePageLayoutView="70" workbookViewId="0">
      <selection activeCell="C10" sqref="C10"/>
    </sheetView>
  </sheetViews>
  <sheetFormatPr baseColWidth="10" defaultColWidth="11.42578125" defaultRowHeight="15" x14ac:dyDescent="0.25"/>
  <cols>
    <col min="1" max="1" width="12.28515625" customWidth="1"/>
    <col min="2" max="6" width="19.42578125" customWidth="1"/>
    <col min="7" max="7" width="14.28515625" customWidth="1"/>
    <col min="8" max="8" width="8.42578125" customWidth="1"/>
    <col min="10" max="10"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20.25" customHeight="1" thickTop="1" x14ac:dyDescent="0.25">
      <c r="A4" s="214" t="s">
        <v>543</v>
      </c>
      <c r="B4" s="214"/>
      <c r="C4" s="214"/>
      <c r="D4" s="214"/>
      <c r="E4" s="175"/>
      <c r="F4" s="176"/>
      <c r="G4" s="175"/>
      <c r="H4" s="4"/>
      <c r="N4" s="4"/>
      <c r="O4" s="4"/>
      <c r="P4" s="4"/>
    </row>
    <row r="5" spans="1:16" ht="15" customHeight="1" x14ac:dyDescent="0.25">
      <c r="A5" s="182" t="s">
        <v>542</v>
      </c>
      <c r="B5" s="182"/>
      <c r="C5" s="182"/>
      <c r="D5" s="182"/>
      <c r="E5" s="182"/>
      <c r="F5" s="182"/>
    </row>
    <row r="7" spans="1:16" s="34" customFormat="1" ht="39.75" customHeight="1" x14ac:dyDescent="0.25">
      <c r="A7"/>
      <c r="B7"/>
      <c r="C7" s="213" t="s">
        <v>343</v>
      </c>
      <c r="D7" s="213"/>
      <c r="E7" s="213" t="s">
        <v>344</v>
      </c>
      <c r="F7" s="213"/>
      <c r="G7"/>
      <c r="H7"/>
    </row>
    <row r="8" spans="1:16" s="34" customFormat="1" ht="39.75" customHeight="1" x14ac:dyDescent="0.25">
      <c r="A8" s="17" t="s">
        <v>2</v>
      </c>
      <c r="B8" s="17" t="s">
        <v>264</v>
      </c>
      <c r="C8" s="17" t="s">
        <v>277</v>
      </c>
      <c r="D8" s="17" t="s">
        <v>278</v>
      </c>
      <c r="E8" s="17" t="s">
        <v>277</v>
      </c>
      <c r="F8" s="17" t="s">
        <v>278</v>
      </c>
      <c r="G8"/>
      <c r="H8"/>
    </row>
    <row r="9" spans="1:16" ht="57" customHeight="1" x14ac:dyDescent="0.25">
      <c r="A9" s="64" t="s">
        <v>3</v>
      </c>
      <c r="B9" s="66" t="s">
        <v>300</v>
      </c>
      <c r="C9" s="66">
        <v>90</v>
      </c>
      <c r="D9" s="66">
        <v>48</v>
      </c>
      <c r="E9" s="66">
        <v>78</v>
      </c>
      <c r="F9" s="66">
        <v>39</v>
      </c>
    </row>
    <row r="10" spans="1:16" ht="57" customHeight="1" x14ac:dyDescent="0.25">
      <c r="A10" s="56" t="s">
        <v>4</v>
      </c>
      <c r="B10" s="58"/>
      <c r="C10" s="58"/>
      <c r="D10" s="58"/>
      <c r="E10" s="58"/>
      <c r="F10" s="58"/>
    </row>
    <row r="11" spans="1:16" ht="57" customHeight="1" x14ac:dyDescent="0.25">
      <c r="A11" s="56" t="s">
        <v>5</v>
      </c>
      <c r="B11" s="58"/>
      <c r="C11" s="58"/>
      <c r="D11" s="58"/>
      <c r="E11" s="58"/>
      <c r="F11" s="58"/>
    </row>
    <row r="12" spans="1:16" ht="57" customHeight="1" x14ac:dyDescent="0.25">
      <c r="A12" s="56" t="s">
        <v>6</v>
      </c>
      <c r="B12" s="58"/>
      <c r="C12" s="58"/>
      <c r="D12" s="58"/>
      <c r="E12" s="58"/>
      <c r="F12" s="58"/>
    </row>
    <row r="13" spans="1:16" ht="57" customHeight="1" x14ac:dyDescent="0.25">
      <c r="A13" s="56" t="s">
        <v>7</v>
      </c>
      <c r="B13" s="58"/>
      <c r="C13" s="58"/>
      <c r="D13" s="58"/>
      <c r="E13" s="58"/>
      <c r="F13" s="58"/>
    </row>
    <row r="14" spans="1:16" ht="57" customHeight="1" x14ac:dyDescent="0.25">
      <c r="A14" s="56" t="s">
        <v>8</v>
      </c>
      <c r="B14" s="58"/>
      <c r="C14" s="58"/>
      <c r="D14" s="58"/>
      <c r="E14" s="58"/>
      <c r="F14" s="58"/>
    </row>
    <row r="15" spans="1:16" ht="57" customHeight="1" x14ac:dyDescent="0.25">
      <c r="A15" s="56" t="s">
        <v>9</v>
      </c>
      <c r="B15" s="58"/>
      <c r="C15" s="58"/>
      <c r="D15" s="58"/>
      <c r="E15" s="58"/>
      <c r="F15" s="58"/>
    </row>
    <row r="78" ht="30.75" customHeight="1" x14ac:dyDescent="0.25"/>
    <row r="80" ht="30" customHeight="1" x14ac:dyDescent="0.25"/>
  </sheetData>
  <mergeCells count="4">
    <mergeCell ref="A5:F5"/>
    <mergeCell ref="C7:D7"/>
    <mergeCell ref="E7:F7"/>
    <mergeCell ref="A4:D4"/>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5BDB2-6EA4-4C8C-B7C1-81C65350EAF8}">
  <sheetPr>
    <tabColor theme="5"/>
  </sheetPr>
  <dimension ref="A1:P78"/>
  <sheetViews>
    <sheetView showWhiteSpace="0" topLeftCell="C1" zoomScale="90" zoomScaleNormal="90" zoomScaleSheetLayoutView="85" zoomScalePageLayoutView="70" workbookViewId="0">
      <selection activeCell="B12" sqref="B12"/>
    </sheetView>
  </sheetViews>
  <sheetFormatPr baseColWidth="10" defaultColWidth="11.42578125" defaultRowHeight="15" x14ac:dyDescent="0.25"/>
  <cols>
    <col min="1" max="1" width="31.140625" customWidth="1"/>
    <col min="2" max="8" width="19.42578125" customWidth="1"/>
    <col min="9" max="9" width="14.28515625" customWidth="1"/>
    <col min="10" max="10" width="8.42578125" customWidth="1"/>
    <col min="12" max="12"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44.25" customHeight="1" thickTop="1" x14ac:dyDescent="0.25">
      <c r="A4" s="214" t="s">
        <v>545</v>
      </c>
      <c r="B4" s="214"/>
      <c r="C4" s="214"/>
      <c r="D4" s="175"/>
      <c r="E4" s="175"/>
      <c r="F4" s="176"/>
      <c r="G4" s="175"/>
      <c r="H4" s="4"/>
      <c r="N4" s="4"/>
      <c r="O4" s="4"/>
      <c r="P4" s="4"/>
    </row>
    <row r="5" spans="1:16" ht="15" customHeight="1" x14ac:dyDescent="0.25">
      <c r="A5" s="182" t="s">
        <v>544</v>
      </c>
      <c r="B5" s="182"/>
      <c r="C5" s="182"/>
      <c r="D5" s="182"/>
      <c r="E5" s="182"/>
      <c r="F5" s="182"/>
      <c r="G5" s="182"/>
      <c r="H5" s="182"/>
    </row>
    <row r="7" spans="1:16" s="34" customFormat="1" ht="39.75" customHeight="1" x14ac:dyDescent="0.25">
      <c r="A7"/>
      <c r="B7" s="215" t="s">
        <v>345</v>
      </c>
      <c r="C7" s="216"/>
      <c r="D7" s="216"/>
      <c r="E7" s="216"/>
      <c r="F7" s="216"/>
      <c r="G7" s="216"/>
      <c r="H7" s="217"/>
      <c r="I7"/>
      <c r="J7"/>
    </row>
    <row r="8" spans="1:16" s="34" customFormat="1" ht="39.75" customHeight="1" x14ac:dyDescent="0.25">
      <c r="A8" s="17" t="s">
        <v>346</v>
      </c>
      <c r="B8" s="33" t="s">
        <v>6</v>
      </c>
      <c r="C8" s="33" t="s">
        <v>4</v>
      </c>
      <c r="D8" s="33" t="s">
        <v>5</v>
      </c>
      <c r="E8" s="33" t="s">
        <v>8</v>
      </c>
      <c r="F8" s="33" t="s">
        <v>9</v>
      </c>
      <c r="G8" s="33" t="s">
        <v>7</v>
      </c>
      <c r="H8" s="33" t="s">
        <v>3</v>
      </c>
      <c r="I8"/>
      <c r="J8"/>
    </row>
    <row r="9" spans="1:16" ht="57" customHeight="1" x14ac:dyDescent="0.25">
      <c r="A9" s="74" t="s">
        <v>347</v>
      </c>
      <c r="B9" s="56"/>
      <c r="C9" s="56"/>
      <c r="D9" s="56"/>
      <c r="E9" s="56"/>
      <c r="F9" s="56"/>
      <c r="G9" s="56"/>
      <c r="H9" s="64">
        <v>0</v>
      </c>
    </row>
    <row r="10" spans="1:16" ht="57" customHeight="1" x14ac:dyDescent="0.25">
      <c r="A10" s="74" t="s">
        <v>348</v>
      </c>
      <c r="B10" s="56"/>
      <c r="C10" s="56"/>
      <c r="D10" s="56"/>
      <c r="E10" s="56"/>
      <c r="F10" s="56"/>
      <c r="G10" s="56"/>
      <c r="H10" s="64">
        <v>0</v>
      </c>
    </row>
    <row r="11" spans="1:16" ht="57" customHeight="1" x14ac:dyDescent="0.25"/>
    <row r="12" spans="1:16" ht="57" customHeight="1" x14ac:dyDescent="0.25"/>
    <row r="13" spans="1:16" ht="57" customHeight="1" x14ac:dyDescent="0.25"/>
    <row r="76" ht="30.75" customHeight="1" x14ac:dyDescent="0.25"/>
    <row r="78" ht="30" customHeight="1" x14ac:dyDescent="0.25"/>
  </sheetData>
  <mergeCells count="3">
    <mergeCell ref="A5:H5"/>
    <mergeCell ref="B7:H7"/>
    <mergeCell ref="A4:C4"/>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9B57-7E1D-4E2C-B5C4-5C663543CBDB}">
  <sheetPr>
    <tabColor rgb="FF92D050"/>
  </sheetPr>
  <dimension ref="A1:R57"/>
  <sheetViews>
    <sheetView showWhiteSpace="0" topLeftCell="G1" zoomScale="80" zoomScaleNormal="80" zoomScaleSheetLayoutView="100" zoomScalePageLayoutView="55" workbookViewId="0">
      <selection activeCell="I8" sqref="I8:R9"/>
    </sheetView>
  </sheetViews>
  <sheetFormatPr baseColWidth="10" defaultColWidth="11.42578125" defaultRowHeight="15" x14ac:dyDescent="0.25"/>
  <cols>
    <col min="1" max="1" width="5.28515625" style="25" customWidth="1"/>
    <col min="2" max="2" width="16.7109375" style="34" bestFit="1" customWidth="1"/>
    <col min="3" max="3" width="43.28515625" style="25" customWidth="1"/>
    <col min="4" max="4" width="9.140625" style="25" bestFit="1" customWidth="1"/>
    <col min="5" max="5" width="43" style="25" customWidth="1"/>
    <col min="6" max="6" width="26.85546875" style="25" customWidth="1"/>
    <col min="7" max="7" width="38.7109375" style="25" customWidth="1"/>
    <col min="8" max="8" width="6.5703125" style="25" customWidth="1"/>
    <col min="9" max="9" width="5.28515625" style="25" customWidth="1"/>
    <col min="10" max="10" width="16.7109375" style="34" bestFit="1" customWidth="1"/>
    <col min="11" max="11" width="43.28515625" style="25" customWidth="1"/>
    <col min="12" max="12" width="9.140625" style="34" bestFit="1" customWidth="1"/>
    <col min="13" max="13" width="16.140625" style="34" bestFit="1" customWidth="1"/>
    <col min="14" max="14" width="56.42578125" style="25" customWidth="1"/>
    <col min="15" max="15" width="26.85546875" style="25" bestFit="1" customWidth="1"/>
    <col min="16" max="16" width="21.28515625" style="25" customWidth="1"/>
    <col min="17" max="17" width="21.42578125" style="25" customWidth="1"/>
    <col min="18" max="18" width="21.7109375" style="25" customWidth="1"/>
    <col min="19" max="16384" width="11.42578125" style="25"/>
  </cols>
  <sheetData>
    <row r="1" spans="1:18" ht="21" x14ac:dyDescent="0.25">
      <c r="A1" s="1" t="s">
        <v>0</v>
      </c>
      <c r="B1" s="75"/>
      <c r="C1" s="1"/>
      <c r="D1" s="1"/>
      <c r="I1" s="1" t="s">
        <v>0</v>
      </c>
      <c r="J1" s="75"/>
      <c r="K1" s="1"/>
      <c r="L1" s="75"/>
      <c r="M1" s="75"/>
    </row>
    <row r="2" spans="1:18" x14ac:dyDescent="0.25">
      <c r="A2" s="5" t="s">
        <v>1</v>
      </c>
      <c r="B2" s="76"/>
      <c r="C2" s="5"/>
      <c r="D2" s="5"/>
      <c r="I2" s="5" t="s">
        <v>1</v>
      </c>
      <c r="J2" s="76"/>
      <c r="K2" s="5"/>
      <c r="L2" s="76"/>
      <c r="M2" s="76"/>
    </row>
    <row r="3" spans="1:18" ht="20.25" customHeight="1" thickBot="1" x14ac:dyDescent="0.3">
      <c r="A3" s="6" t="s">
        <v>522</v>
      </c>
      <c r="B3" s="77"/>
      <c r="C3" s="6"/>
      <c r="D3" s="6"/>
      <c r="E3" s="7"/>
      <c r="F3" s="7"/>
      <c r="G3" s="7"/>
      <c r="I3" s="6" t="s">
        <v>522</v>
      </c>
      <c r="J3" s="77"/>
      <c r="K3" s="6"/>
      <c r="L3" s="77"/>
      <c r="M3" s="77"/>
      <c r="N3" s="7"/>
      <c r="O3" s="7"/>
      <c r="P3" s="7"/>
      <c r="Q3" s="7"/>
      <c r="R3" s="7"/>
    </row>
    <row r="4" spans="1:18" ht="7.5" customHeight="1" thickTop="1" thickBot="1" x14ac:dyDescent="0.3"/>
    <row r="5" spans="1:18" ht="15" customHeight="1" thickTop="1" thickBot="1" x14ac:dyDescent="0.3">
      <c r="A5" s="229" t="s">
        <v>349</v>
      </c>
      <c r="B5" s="229"/>
      <c r="C5" s="229"/>
      <c r="D5" s="27"/>
      <c r="F5" s="78" t="s">
        <v>23</v>
      </c>
      <c r="G5" s="78" t="s">
        <v>24</v>
      </c>
      <c r="I5" s="229" t="s">
        <v>349</v>
      </c>
      <c r="J5" s="229"/>
      <c r="K5" s="229"/>
      <c r="L5" s="79"/>
      <c r="M5" s="79"/>
      <c r="P5" s="80" t="s">
        <v>23</v>
      </c>
      <c r="Q5" s="201" t="s">
        <v>24</v>
      </c>
      <c r="R5" s="203"/>
    </row>
    <row r="6" spans="1:18" ht="15.75" customHeight="1" thickTop="1" x14ac:dyDescent="0.25">
      <c r="A6" s="229"/>
      <c r="B6" s="229"/>
      <c r="C6" s="229"/>
      <c r="D6" s="27"/>
      <c r="F6" s="230">
        <v>45035</v>
      </c>
      <c r="G6" s="81" t="s">
        <v>25</v>
      </c>
      <c r="I6" s="229"/>
      <c r="J6" s="229"/>
      <c r="K6" s="229"/>
      <c r="L6" s="79"/>
      <c r="M6" s="79"/>
      <c r="P6" s="230">
        <v>45035</v>
      </c>
      <c r="Q6" s="232" t="s">
        <v>25</v>
      </c>
      <c r="R6" s="233"/>
    </row>
    <row r="7" spans="1:18" ht="15.75" thickBot="1" x14ac:dyDescent="0.3">
      <c r="F7" s="231"/>
      <c r="G7" s="82" t="s">
        <v>26</v>
      </c>
      <c r="P7" s="231"/>
      <c r="Q7" s="234" t="s">
        <v>26</v>
      </c>
      <c r="R7" s="235"/>
    </row>
    <row r="8" spans="1:18" ht="15" customHeight="1" thickTop="1" x14ac:dyDescent="0.25">
      <c r="A8" s="182" t="s">
        <v>546</v>
      </c>
      <c r="B8" s="182"/>
      <c r="C8" s="182"/>
      <c r="D8" s="182"/>
      <c r="E8" s="182"/>
      <c r="F8" s="182"/>
      <c r="G8" s="182"/>
      <c r="I8" s="182" t="s">
        <v>547</v>
      </c>
      <c r="J8" s="182"/>
      <c r="K8" s="182"/>
      <c r="L8" s="182"/>
      <c r="M8" s="182"/>
      <c r="N8" s="182"/>
      <c r="O8" s="182"/>
      <c r="P8" s="182"/>
      <c r="Q8" s="182"/>
      <c r="R8" s="182"/>
    </row>
    <row r="9" spans="1:18" x14ac:dyDescent="0.25">
      <c r="A9" s="183"/>
      <c r="B9" s="183"/>
      <c r="C9" s="183"/>
      <c r="D9" s="183"/>
      <c r="E9" s="183"/>
      <c r="F9" s="183"/>
      <c r="G9" s="183"/>
      <c r="I9" s="183"/>
      <c r="J9" s="183"/>
      <c r="K9" s="183"/>
      <c r="L9" s="183"/>
      <c r="M9" s="183"/>
      <c r="N9" s="183"/>
      <c r="O9" s="183"/>
      <c r="P9" s="183"/>
      <c r="Q9" s="183"/>
      <c r="R9" s="183"/>
    </row>
    <row r="10" spans="1:18" s="20" customFormat="1" ht="52.5" x14ac:dyDescent="0.25">
      <c r="A10" s="18" t="s">
        <v>27</v>
      </c>
      <c r="B10" s="18" t="s">
        <v>350</v>
      </c>
      <c r="C10" s="18" t="s">
        <v>351</v>
      </c>
      <c r="D10" s="18" t="s">
        <v>352</v>
      </c>
      <c r="E10" s="18" t="s">
        <v>270</v>
      </c>
      <c r="F10" s="18" t="s">
        <v>353</v>
      </c>
      <c r="G10" s="18" t="s">
        <v>354</v>
      </c>
      <c r="H10" s="25"/>
      <c r="I10" s="18" t="s">
        <v>27</v>
      </c>
      <c r="J10" s="18" t="s">
        <v>350</v>
      </c>
      <c r="K10" s="18" t="s">
        <v>351</v>
      </c>
      <c r="L10" s="18" t="s">
        <v>352</v>
      </c>
      <c r="M10" s="18" t="s">
        <v>355</v>
      </c>
      <c r="N10" s="18" t="s">
        <v>356</v>
      </c>
      <c r="O10" s="17" t="s">
        <v>357</v>
      </c>
      <c r="P10" s="17" t="s">
        <v>358</v>
      </c>
      <c r="Q10" s="17" t="s">
        <v>359</v>
      </c>
      <c r="R10" s="17" t="s">
        <v>360</v>
      </c>
    </row>
    <row r="11" spans="1:18" s="87" customFormat="1" ht="30" x14ac:dyDescent="0.25">
      <c r="A11" s="83">
        <v>1</v>
      </c>
      <c r="B11" s="83">
        <v>18791033</v>
      </c>
      <c r="C11" s="83" t="s">
        <v>361</v>
      </c>
      <c r="D11" s="83" t="s">
        <v>277</v>
      </c>
      <c r="E11" s="83">
        <v>10</v>
      </c>
      <c r="F11" s="83">
        <v>142</v>
      </c>
      <c r="G11" s="83" t="s">
        <v>362</v>
      </c>
      <c r="H11" s="84"/>
      <c r="I11" s="85">
        <v>1</v>
      </c>
      <c r="J11" s="83">
        <v>17791004</v>
      </c>
      <c r="K11" s="83" t="s">
        <v>363</v>
      </c>
      <c r="L11" s="83" t="s">
        <v>278</v>
      </c>
      <c r="M11" s="83">
        <v>250</v>
      </c>
      <c r="N11" s="83" t="s">
        <v>364</v>
      </c>
      <c r="O11" s="86" t="s">
        <v>365</v>
      </c>
      <c r="P11" s="85" t="s">
        <v>366</v>
      </c>
      <c r="Q11" s="85" t="s">
        <v>367</v>
      </c>
      <c r="R11" s="85" t="s">
        <v>368</v>
      </c>
    </row>
    <row r="12" spans="1:18" s="87" customFormat="1" ht="30" x14ac:dyDescent="0.25">
      <c r="A12" s="83">
        <v>2</v>
      </c>
      <c r="B12" s="83">
        <v>18791013</v>
      </c>
      <c r="C12" s="83" t="s">
        <v>369</v>
      </c>
      <c r="D12" s="83" t="s">
        <v>277</v>
      </c>
      <c r="E12" s="83">
        <v>10</v>
      </c>
      <c r="F12" s="83">
        <v>229</v>
      </c>
      <c r="G12" s="83" t="s">
        <v>370</v>
      </c>
      <c r="H12" s="84"/>
      <c r="I12" s="85">
        <v>2</v>
      </c>
      <c r="J12" s="83">
        <v>18791014</v>
      </c>
      <c r="K12" s="83" t="s">
        <v>371</v>
      </c>
      <c r="L12" s="83" t="s">
        <v>277</v>
      </c>
      <c r="M12" s="83">
        <v>239</v>
      </c>
      <c r="N12" s="83" t="s">
        <v>372</v>
      </c>
      <c r="O12" s="86" t="s">
        <v>365</v>
      </c>
      <c r="P12" s="85" t="s">
        <v>366</v>
      </c>
      <c r="Q12" s="85" t="s">
        <v>367</v>
      </c>
      <c r="R12" s="85" t="s">
        <v>368</v>
      </c>
    </row>
    <row r="13" spans="1:18" s="87" customFormat="1" ht="30" x14ac:dyDescent="0.25">
      <c r="A13" s="88"/>
      <c r="B13" s="88"/>
      <c r="C13" s="88"/>
      <c r="D13" s="88"/>
      <c r="E13" s="88"/>
      <c r="F13" s="88"/>
      <c r="G13" s="88"/>
      <c r="H13" s="84"/>
      <c r="I13" s="85">
        <v>3</v>
      </c>
      <c r="J13" s="83">
        <v>18791029</v>
      </c>
      <c r="K13" s="83" t="s">
        <v>373</v>
      </c>
      <c r="L13" s="83" t="s">
        <v>278</v>
      </c>
      <c r="M13" s="83">
        <v>250</v>
      </c>
      <c r="N13" s="83" t="s">
        <v>364</v>
      </c>
      <c r="O13" s="86" t="s">
        <v>365</v>
      </c>
      <c r="P13" s="85" t="s">
        <v>366</v>
      </c>
      <c r="Q13" s="85" t="s">
        <v>367</v>
      </c>
      <c r="R13" s="85" t="s">
        <v>368</v>
      </c>
    </row>
    <row r="14" spans="1:18" s="87" customFormat="1" ht="30" x14ac:dyDescent="0.25">
      <c r="A14" s="88"/>
      <c r="B14" s="88"/>
      <c r="C14" s="88"/>
      <c r="D14" s="88"/>
      <c r="E14" s="88"/>
      <c r="F14" s="88"/>
      <c r="G14" s="88"/>
      <c r="H14" s="84"/>
      <c r="I14" s="85">
        <v>4</v>
      </c>
      <c r="J14" s="83">
        <v>8791039</v>
      </c>
      <c r="K14" s="83" t="s">
        <v>374</v>
      </c>
      <c r="L14" s="83" t="s">
        <v>277</v>
      </c>
      <c r="M14" s="83">
        <v>244</v>
      </c>
      <c r="N14" s="83" t="s">
        <v>372</v>
      </c>
      <c r="O14" s="86" t="s">
        <v>365</v>
      </c>
      <c r="P14" s="85" t="s">
        <v>366</v>
      </c>
      <c r="Q14" s="85" t="s">
        <v>367</v>
      </c>
      <c r="R14" s="85" t="s">
        <v>368</v>
      </c>
    </row>
    <row r="15" spans="1:18" s="87" customFormat="1" x14ac:dyDescent="0.25">
      <c r="A15" s="88"/>
      <c r="B15" s="88"/>
      <c r="C15" s="88"/>
      <c r="D15" s="88"/>
      <c r="E15" s="88"/>
      <c r="F15" s="88"/>
      <c r="G15" s="88"/>
      <c r="H15" s="84"/>
      <c r="I15" s="74"/>
      <c r="J15" s="88"/>
      <c r="K15" s="88"/>
      <c r="L15" s="88"/>
      <c r="M15" s="88"/>
      <c r="N15" s="88"/>
      <c r="O15" s="89"/>
      <c r="P15" s="74"/>
      <c r="Q15" s="74"/>
      <c r="R15" s="74"/>
    </row>
    <row r="16" spans="1:18" s="87" customFormat="1" x14ac:dyDescent="0.25">
      <c r="A16" s="88"/>
      <c r="B16" s="88"/>
      <c r="C16" s="88"/>
      <c r="D16" s="88"/>
      <c r="E16" s="88"/>
      <c r="F16" s="88"/>
      <c r="G16" s="88"/>
      <c r="H16" s="84"/>
      <c r="I16" s="74"/>
      <c r="J16" s="88"/>
      <c r="K16" s="88"/>
      <c r="L16" s="88"/>
      <c r="M16" s="88"/>
      <c r="N16" s="88"/>
      <c r="O16" s="89"/>
      <c r="P16" s="74"/>
      <c r="Q16" s="74"/>
      <c r="R16" s="74"/>
    </row>
    <row r="17" spans="1:18" s="87" customFormat="1" x14ac:dyDescent="0.25">
      <c r="A17" s="74"/>
      <c r="B17" s="90"/>
      <c r="C17" s="90"/>
      <c r="D17" s="74"/>
      <c r="E17" s="74"/>
      <c r="F17" s="74"/>
      <c r="G17" s="74"/>
      <c r="H17" s="84"/>
      <c r="I17" s="74"/>
      <c r="J17" s="88"/>
      <c r="K17" s="88"/>
      <c r="L17" s="88"/>
      <c r="M17" s="88"/>
      <c r="N17" s="88"/>
      <c r="O17" s="89"/>
      <c r="P17" s="74"/>
      <c r="Q17" s="74"/>
      <c r="R17" s="74"/>
    </row>
    <row r="18" spans="1:18" s="87" customFormat="1" x14ac:dyDescent="0.25">
      <c r="A18" s="74"/>
      <c r="B18" s="90"/>
      <c r="C18" s="90"/>
      <c r="D18" s="74"/>
      <c r="E18" s="74"/>
      <c r="F18" s="74"/>
      <c r="G18" s="74"/>
      <c r="H18" s="84"/>
      <c r="I18" s="74"/>
      <c r="J18" s="88"/>
      <c r="K18" s="88"/>
      <c r="L18" s="88"/>
      <c r="M18" s="88"/>
      <c r="N18" s="88"/>
      <c r="O18" s="89"/>
      <c r="P18" s="74"/>
      <c r="Q18" s="74"/>
      <c r="R18" s="74"/>
    </row>
    <row r="19" spans="1:18" s="87" customFormat="1" x14ac:dyDescent="0.25">
      <c r="A19" s="74"/>
      <c r="B19" s="90"/>
      <c r="C19" s="90"/>
      <c r="D19" s="74"/>
      <c r="E19" s="74"/>
      <c r="F19" s="74"/>
      <c r="G19" s="74"/>
      <c r="H19" s="84"/>
      <c r="I19" s="74"/>
      <c r="J19" s="88"/>
      <c r="K19" s="88"/>
      <c r="L19" s="88"/>
      <c r="M19" s="88"/>
      <c r="N19" s="88"/>
      <c r="O19" s="89"/>
      <c r="P19" s="74"/>
      <c r="Q19" s="74"/>
      <c r="R19" s="74"/>
    </row>
    <row r="20" spans="1:18" s="87" customFormat="1" x14ac:dyDescent="0.25">
      <c r="A20" s="74"/>
      <c r="B20" s="90"/>
      <c r="C20" s="74"/>
      <c r="D20" s="74"/>
      <c r="E20" s="74"/>
      <c r="F20" s="74"/>
      <c r="G20" s="74"/>
      <c r="H20" s="84"/>
      <c r="I20" s="74"/>
      <c r="J20" s="88"/>
      <c r="K20" s="88"/>
      <c r="L20" s="88"/>
      <c r="M20" s="88"/>
      <c r="N20" s="88"/>
      <c r="O20" s="89"/>
      <c r="P20" s="74"/>
      <c r="Q20" s="74"/>
      <c r="R20" s="74"/>
    </row>
    <row r="21" spans="1:18" s="87" customFormat="1" x14ac:dyDescent="0.25">
      <c r="A21" s="74"/>
      <c r="B21" s="90"/>
      <c r="C21" s="74"/>
      <c r="D21" s="74"/>
      <c r="E21" s="74"/>
      <c r="F21" s="74"/>
      <c r="G21" s="74"/>
      <c r="H21" s="84"/>
      <c r="I21" s="74"/>
      <c r="J21" s="88"/>
      <c r="K21" s="88"/>
      <c r="L21" s="88"/>
      <c r="M21" s="88"/>
      <c r="N21" s="88"/>
      <c r="O21" s="89"/>
      <c r="P21" s="74"/>
      <c r="Q21" s="74"/>
      <c r="R21" s="74"/>
    </row>
    <row r="22" spans="1:18" s="87" customFormat="1" x14ac:dyDescent="0.25">
      <c r="A22" s="74"/>
      <c r="B22" s="90"/>
      <c r="C22" s="74"/>
      <c r="D22" s="74"/>
      <c r="E22" s="74"/>
      <c r="F22" s="74"/>
      <c r="G22" s="74"/>
      <c r="H22" s="84"/>
      <c r="I22" s="74"/>
      <c r="J22" s="88"/>
      <c r="K22" s="88"/>
      <c r="L22" s="88"/>
      <c r="M22" s="88"/>
      <c r="N22" s="88"/>
      <c r="O22" s="89"/>
      <c r="P22" s="74"/>
      <c r="Q22" s="74"/>
      <c r="R22" s="74"/>
    </row>
    <row r="23" spans="1:18" s="20" customFormat="1" x14ac:dyDescent="0.3">
      <c r="A23" s="19"/>
      <c r="B23" s="91"/>
      <c r="C23" s="92"/>
      <c r="D23" s="19"/>
      <c r="E23" s="19"/>
      <c r="F23" s="19"/>
      <c r="G23" s="19"/>
      <c r="H23" s="25"/>
      <c r="I23" s="19"/>
      <c r="J23" s="91"/>
      <c r="K23" s="92"/>
      <c r="L23" s="19"/>
      <c r="M23" s="19"/>
      <c r="N23" s="19"/>
      <c r="O23" s="93"/>
      <c r="P23" s="19"/>
      <c r="Q23" s="19"/>
      <c r="R23" s="19"/>
    </row>
    <row r="24" spans="1:18" s="20" customFormat="1" x14ac:dyDescent="0.25">
      <c r="A24" s="19"/>
      <c r="B24" s="91"/>
      <c r="C24" s="92"/>
      <c r="D24" s="19"/>
      <c r="E24" s="19"/>
      <c r="F24" s="19"/>
      <c r="G24" s="19"/>
      <c r="H24" s="25"/>
      <c r="I24" s="19"/>
      <c r="J24" s="91"/>
      <c r="K24" s="92"/>
      <c r="L24" s="19"/>
      <c r="M24" s="19"/>
      <c r="N24" s="19"/>
      <c r="O24" s="22"/>
      <c r="P24" s="19"/>
      <c r="Q24" s="19"/>
      <c r="R24" s="19"/>
    </row>
    <row r="25" spans="1:18" s="20" customFormat="1" x14ac:dyDescent="0.25">
      <c r="A25" s="19"/>
      <c r="B25" s="91"/>
      <c r="C25" s="92"/>
      <c r="D25" s="19"/>
      <c r="E25" s="19"/>
      <c r="F25" s="19"/>
      <c r="G25" s="19"/>
      <c r="H25" s="25"/>
      <c r="I25" s="19"/>
      <c r="J25" s="91"/>
      <c r="K25" s="92"/>
      <c r="L25" s="19"/>
      <c r="M25" s="19"/>
      <c r="N25" s="19"/>
      <c r="O25" s="22"/>
      <c r="P25" s="19"/>
      <c r="Q25" s="19"/>
      <c r="R25" s="19"/>
    </row>
    <row r="26" spans="1:18" s="20" customFormat="1" x14ac:dyDescent="0.25">
      <c r="A26" s="19"/>
      <c r="B26" s="91"/>
      <c r="C26" s="92"/>
      <c r="D26" s="19"/>
      <c r="E26" s="19"/>
      <c r="F26" s="19"/>
      <c r="G26" s="19"/>
      <c r="H26" s="25"/>
      <c r="I26" s="19"/>
      <c r="J26" s="91"/>
      <c r="K26" s="92"/>
      <c r="L26" s="19"/>
      <c r="M26" s="19"/>
      <c r="N26" s="19"/>
      <c r="O26" s="22"/>
      <c r="P26" s="19"/>
      <c r="Q26" s="19"/>
      <c r="R26" s="19"/>
    </row>
    <row r="27" spans="1:18" s="20" customFormat="1" x14ac:dyDescent="0.25">
      <c r="A27" s="19"/>
      <c r="B27" s="91"/>
      <c r="C27" s="92"/>
      <c r="D27" s="19"/>
      <c r="E27" s="19"/>
      <c r="F27" s="19"/>
      <c r="G27" s="19"/>
      <c r="H27" s="25"/>
      <c r="I27" s="19"/>
      <c r="J27" s="91"/>
      <c r="K27" s="92"/>
      <c r="L27" s="19"/>
      <c r="M27" s="19"/>
      <c r="N27" s="19"/>
      <c r="O27" s="22"/>
      <c r="P27" s="19"/>
      <c r="Q27" s="19"/>
      <c r="R27" s="19"/>
    </row>
    <row r="28" spans="1:18" s="20" customFormat="1" x14ac:dyDescent="0.25">
      <c r="A28" s="19"/>
      <c r="B28" s="91"/>
      <c r="C28" s="92"/>
      <c r="D28" s="19"/>
      <c r="E28" s="19"/>
      <c r="F28" s="19"/>
      <c r="G28" s="19"/>
      <c r="H28" s="25"/>
      <c r="I28" s="19"/>
      <c r="J28" s="91"/>
      <c r="K28" s="92"/>
      <c r="L28" s="19"/>
      <c r="M28" s="19"/>
      <c r="N28" s="19"/>
      <c r="O28" s="22"/>
      <c r="P28" s="19"/>
      <c r="Q28" s="19"/>
      <c r="R28" s="19"/>
    </row>
    <row r="29" spans="1:18" s="20" customFormat="1" x14ac:dyDescent="0.25">
      <c r="A29" s="19"/>
      <c r="B29" s="91"/>
      <c r="C29" s="92"/>
      <c r="D29" s="19"/>
      <c r="E29" s="19"/>
      <c r="F29" s="19"/>
      <c r="G29" s="19"/>
      <c r="H29" s="25"/>
      <c r="I29" s="19"/>
      <c r="J29" s="91"/>
      <c r="K29" s="92"/>
      <c r="L29" s="19"/>
      <c r="M29" s="19"/>
      <c r="N29" s="19"/>
      <c r="O29" s="22"/>
      <c r="P29" s="19"/>
      <c r="Q29" s="19"/>
      <c r="R29" s="19"/>
    </row>
    <row r="30" spans="1:18" s="20" customFormat="1" x14ac:dyDescent="0.25">
      <c r="A30" s="19"/>
      <c r="B30" s="91"/>
      <c r="C30" s="92"/>
      <c r="D30" s="19"/>
      <c r="E30" s="19"/>
      <c r="F30" s="19"/>
      <c r="G30" s="19"/>
      <c r="H30" s="25"/>
      <c r="I30" s="19"/>
      <c r="J30" s="91"/>
      <c r="K30" s="92"/>
      <c r="L30" s="19"/>
      <c r="M30" s="19"/>
      <c r="N30" s="19"/>
      <c r="O30" s="22"/>
      <c r="P30" s="19"/>
      <c r="Q30" s="19"/>
      <c r="R30" s="19"/>
    </row>
    <row r="31" spans="1:18" s="20" customFormat="1" x14ac:dyDescent="0.25">
      <c r="A31" s="19"/>
      <c r="B31" s="91"/>
      <c r="C31" s="92"/>
      <c r="D31" s="19"/>
      <c r="E31" s="19"/>
      <c r="F31" s="19"/>
      <c r="G31" s="19"/>
      <c r="H31" s="25"/>
      <c r="I31" s="19"/>
      <c r="J31" s="91"/>
      <c r="K31" s="92"/>
      <c r="L31" s="19"/>
      <c r="M31" s="19"/>
      <c r="N31" s="19"/>
      <c r="O31" s="22"/>
      <c r="P31" s="19"/>
      <c r="Q31" s="19"/>
      <c r="R31" s="19"/>
    </row>
    <row r="32" spans="1:18" s="20" customFormat="1" x14ac:dyDescent="0.25">
      <c r="A32" s="19"/>
      <c r="B32" s="91"/>
      <c r="C32" s="92"/>
      <c r="D32" s="19"/>
      <c r="E32" s="19"/>
      <c r="F32" s="19"/>
      <c r="G32" s="19"/>
      <c r="H32" s="25"/>
      <c r="I32" s="19"/>
      <c r="J32" s="91"/>
      <c r="K32" s="92"/>
      <c r="L32" s="19"/>
      <c r="M32" s="19"/>
      <c r="N32" s="19"/>
      <c r="O32" s="22"/>
      <c r="P32" s="19"/>
      <c r="Q32" s="19"/>
      <c r="R32" s="19"/>
    </row>
    <row r="33" spans="1:18" s="20" customFormat="1" x14ac:dyDescent="0.25">
      <c r="A33" s="19"/>
      <c r="B33" s="91"/>
      <c r="C33" s="92"/>
      <c r="D33" s="19"/>
      <c r="E33" s="19"/>
      <c r="F33" s="19"/>
      <c r="G33" s="19"/>
      <c r="H33" s="25"/>
      <c r="I33" s="19"/>
      <c r="J33" s="91"/>
      <c r="K33" s="92"/>
      <c r="L33" s="19"/>
      <c r="M33" s="19"/>
      <c r="N33" s="19"/>
      <c r="O33" s="22"/>
      <c r="P33" s="19"/>
      <c r="Q33" s="19"/>
      <c r="R33" s="19"/>
    </row>
    <row r="34" spans="1:18" s="20" customFormat="1" x14ac:dyDescent="0.25">
      <c r="A34" s="19"/>
      <c r="B34" s="91"/>
      <c r="C34" s="92"/>
      <c r="D34" s="19"/>
      <c r="E34" s="19"/>
      <c r="F34" s="19"/>
      <c r="G34" s="19"/>
      <c r="H34" s="25"/>
      <c r="I34" s="19"/>
      <c r="J34" s="91"/>
      <c r="K34" s="92"/>
      <c r="L34" s="19"/>
      <c r="M34" s="19"/>
      <c r="N34" s="19"/>
      <c r="O34" s="22"/>
      <c r="P34" s="19"/>
      <c r="Q34" s="19"/>
      <c r="R34" s="19"/>
    </row>
    <row r="35" spans="1:18" s="20" customFormat="1" x14ac:dyDescent="0.25">
      <c r="A35" s="19"/>
      <c r="B35" s="91"/>
      <c r="C35" s="92"/>
      <c r="D35" s="19"/>
      <c r="E35" s="19"/>
      <c r="F35" s="19"/>
      <c r="G35" s="19"/>
      <c r="H35" s="25"/>
      <c r="I35" s="19"/>
      <c r="J35" s="91"/>
      <c r="K35" s="92"/>
      <c r="L35" s="19"/>
      <c r="M35" s="19"/>
      <c r="N35" s="19"/>
      <c r="O35" s="22"/>
      <c r="P35" s="19"/>
      <c r="Q35" s="19"/>
      <c r="R35" s="19"/>
    </row>
    <row r="36" spans="1:18" s="20" customFormat="1" x14ac:dyDescent="0.25">
      <c r="A36" s="19"/>
      <c r="B36" s="91"/>
      <c r="C36" s="92"/>
      <c r="D36" s="19"/>
      <c r="E36" s="19"/>
      <c r="F36" s="19"/>
      <c r="G36" s="19"/>
      <c r="H36" s="25"/>
      <c r="I36" s="19"/>
      <c r="J36" s="91"/>
      <c r="K36" s="92"/>
      <c r="L36" s="19"/>
      <c r="M36" s="19"/>
      <c r="N36" s="19"/>
      <c r="O36" s="22"/>
      <c r="P36" s="19"/>
      <c r="Q36" s="19"/>
      <c r="R36" s="19"/>
    </row>
    <row r="37" spans="1:18" s="20" customFormat="1" x14ac:dyDescent="0.25">
      <c r="A37" s="19"/>
      <c r="B37" s="91"/>
      <c r="C37" s="92"/>
      <c r="D37" s="19"/>
      <c r="E37" s="19"/>
      <c r="F37" s="19"/>
      <c r="G37" s="19"/>
      <c r="H37" s="25"/>
      <c r="I37" s="19"/>
      <c r="J37" s="91"/>
      <c r="K37" s="92"/>
      <c r="L37" s="19"/>
      <c r="M37" s="19"/>
      <c r="N37" s="19"/>
      <c r="O37" s="22"/>
      <c r="P37" s="19"/>
      <c r="Q37" s="19"/>
      <c r="R37" s="19"/>
    </row>
    <row r="38" spans="1:18" s="20" customFormat="1" x14ac:dyDescent="0.25">
      <c r="A38" s="19"/>
      <c r="B38" s="91"/>
      <c r="C38" s="92"/>
      <c r="D38" s="19"/>
      <c r="E38" s="19"/>
      <c r="F38" s="19"/>
      <c r="G38" s="19"/>
      <c r="H38" s="25"/>
      <c r="I38" s="19"/>
      <c r="J38" s="91"/>
      <c r="K38" s="92"/>
      <c r="L38" s="19"/>
      <c r="M38" s="19"/>
      <c r="N38" s="19"/>
      <c r="O38" s="22"/>
      <c r="P38" s="19"/>
      <c r="Q38" s="19"/>
      <c r="R38" s="19"/>
    </row>
    <row r="39" spans="1:18" s="20" customFormat="1" x14ac:dyDescent="0.25">
      <c r="A39" s="19"/>
      <c r="B39" s="91"/>
      <c r="C39" s="92"/>
      <c r="D39" s="19"/>
      <c r="E39" s="19"/>
      <c r="F39" s="19"/>
      <c r="G39" s="19"/>
      <c r="H39" s="25"/>
      <c r="I39" s="19"/>
      <c r="J39" s="91"/>
      <c r="K39" s="92"/>
      <c r="L39" s="19"/>
      <c r="M39" s="19"/>
      <c r="N39" s="19"/>
      <c r="O39" s="22"/>
      <c r="P39" s="19"/>
      <c r="Q39" s="19"/>
      <c r="R39" s="19"/>
    </row>
    <row r="40" spans="1:18" s="20" customFormat="1" x14ac:dyDescent="0.25">
      <c r="A40" s="19"/>
      <c r="B40" s="91"/>
      <c r="C40" s="92"/>
      <c r="D40" s="19"/>
      <c r="E40" s="19"/>
      <c r="F40" s="19"/>
      <c r="G40" s="19"/>
      <c r="H40" s="25"/>
      <c r="I40" s="19"/>
      <c r="J40" s="91"/>
      <c r="K40" s="92"/>
      <c r="L40" s="19"/>
      <c r="M40" s="19"/>
      <c r="N40" s="19"/>
      <c r="O40" s="22"/>
      <c r="P40" s="19"/>
      <c r="Q40" s="19"/>
      <c r="R40" s="19"/>
    </row>
    <row r="41" spans="1:18" s="20" customFormat="1" x14ac:dyDescent="0.25">
      <c r="A41" s="19"/>
      <c r="B41" s="91"/>
      <c r="C41" s="92"/>
      <c r="D41" s="19"/>
      <c r="E41" s="19"/>
      <c r="F41" s="19"/>
      <c r="G41" s="19"/>
      <c r="H41" s="25"/>
      <c r="I41" s="19"/>
      <c r="J41" s="91"/>
      <c r="K41" s="92"/>
      <c r="L41" s="19"/>
      <c r="M41" s="19"/>
      <c r="N41" s="19"/>
      <c r="O41" s="22"/>
      <c r="P41" s="19"/>
      <c r="Q41" s="19"/>
      <c r="R41" s="19"/>
    </row>
    <row r="42" spans="1:18" s="20" customFormat="1" x14ac:dyDescent="0.25">
      <c r="A42" s="19"/>
      <c r="B42" s="91"/>
      <c r="C42" s="92"/>
      <c r="D42" s="19"/>
      <c r="E42" s="19"/>
      <c r="F42" s="19"/>
      <c r="G42" s="19"/>
      <c r="H42" s="25"/>
      <c r="I42" s="19"/>
      <c r="J42" s="91"/>
      <c r="K42" s="92"/>
      <c r="L42" s="19"/>
      <c r="M42" s="19"/>
      <c r="N42" s="19"/>
      <c r="O42" s="22"/>
      <c r="P42" s="19"/>
      <c r="Q42" s="19"/>
      <c r="R42" s="19"/>
    </row>
    <row r="43" spans="1:18" s="20" customFormat="1" x14ac:dyDescent="0.25">
      <c r="A43" s="19"/>
      <c r="B43" s="91"/>
      <c r="C43" s="92"/>
      <c r="D43" s="19"/>
      <c r="E43" s="19"/>
      <c r="F43" s="19"/>
      <c r="G43" s="19"/>
      <c r="H43" s="25"/>
      <c r="I43" s="19"/>
      <c r="J43" s="91"/>
      <c r="K43" s="92"/>
      <c r="L43" s="19"/>
      <c r="M43" s="19"/>
      <c r="N43" s="19"/>
      <c r="O43" s="22"/>
      <c r="P43" s="19"/>
      <c r="Q43" s="19"/>
      <c r="R43" s="19"/>
    </row>
    <row r="44" spans="1:18" s="20" customFormat="1" x14ac:dyDescent="0.25">
      <c r="A44" s="19"/>
      <c r="B44" s="91"/>
      <c r="C44" s="92"/>
      <c r="D44" s="19"/>
      <c r="E44" s="19"/>
      <c r="F44" s="19"/>
      <c r="G44" s="19"/>
      <c r="H44" s="25"/>
      <c r="I44" s="19"/>
      <c r="J44" s="91"/>
      <c r="K44" s="92"/>
      <c r="L44" s="19"/>
      <c r="M44" s="19"/>
      <c r="N44" s="19"/>
      <c r="O44" s="22"/>
      <c r="P44" s="19"/>
      <c r="Q44" s="19"/>
      <c r="R44" s="19"/>
    </row>
    <row r="45" spans="1:18" s="20" customFormat="1" x14ac:dyDescent="0.25">
      <c r="A45" s="19"/>
      <c r="B45" s="91"/>
      <c r="C45" s="92"/>
      <c r="D45" s="19"/>
      <c r="E45" s="19"/>
      <c r="F45" s="19"/>
      <c r="G45" s="19"/>
      <c r="H45" s="25"/>
      <c r="I45" s="19"/>
      <c r="J45" s="91"/>
      <c r="K45" s="92"/>
      <c r="L45" s="19"/>
      <c r="M45" s="19"/>
      <c r="N45" s="19"/>
      <c r="O45" s="22"/>
      <c r="P45" s="19"/>
      <c r="Q45" s="19"/>
      <c r="R45" s="19"/>
    </row>
    <row r="46" spans="1:18" s="20" customFormat="1" x14ac:dyDescent="0.25">
      <c r="A46" s="19"/>
      <c r="B46" s="91"/>
      <c r="C46" s="92"/>
      <c r="D46" s="19"/>
      <c r="E46" s="19"/>
      <c r="F46" s="19"/>
      <c r="G46" s="19"/>
      <c r="H46" s="25"/>
      <c r="I46" s="19"/>
      <c r="J46" s="91"/>
      <c r="K46" s="92"/>
      <c r="L46" s="19"/>
      <c r="M46" s="19"/>
      <c r="N46" s="19"/>
      <c r="O46" s="22"/>
      <c r="P46" s="19"/>
      <c r="Q46" s="19"/>
      <c r="R46" s="19"/>
    </row>
    <row r="47" spans="1:18" s="20" customFormat="1" x14ac:dyDescent="0.25">
      <c r="A47" s="19"/>
      <c r="B47" s="91"/>
      <c r="C47" s="92"/>
      <c r="D47" s="19"/>
      <c r="E47" s="19"/>
      <c r="F47" s="19"/>
      <c r="G47" s="19"/>
      <c r="H47" s="25"/>
      <c r="I47" s="19"/>
      <c r="J47" s="91"/>
      <c r="K47" s="92"/>
      <c r="L47" s="19"/>
      <c r="M47" s="19"/>
      <c r="N47" s="19"/>
      <c r="O47" s="22"/>
      <c r="P47" s="19"/>
      <c r="Q47" s="19"/>
      <c r="R47" s="19"/>
    </row>
    <row r="48" spans="1:18" s="20" customFormat="1" x14ac:dyDescent="0.25">
      <c r="A48" s="19"/>
      <c r="B48" s="91"/>
      <c r="C48" s="92"/>
      <c r="D48" s="19"/>
      <c r="E48" s="19"/>
      <c r="F48" s="19"/>
      <c r="G48" s="19"/>
      <c r="H48" s="25"/>
      <c r="I48" s="19"/>
      <c r="J48" s="91"/>
      <c r="K48" s="92"/>
      <c r="L48" s="19"/>
      <c r="M48" s="19"/>
      <c r="N48" s="19"/>
      <c r="O48" s="22"/>
      <c r="P48" s="19"/>
      <c r="Q48" s="19"/>
      <c r="R48" s="19"/>
    </row>
    <row r="49" spans="1:18" s="20" customFormat="1" x14ac:dyDescent="0.25">
      <c r="A49" s="19"/>
      <c r="B49" s="91"/>
      <c r="C49" s="92"/>
      <c r="D49" s="19"/>
      <c r="E49" s="19"/>
      <c r="F49" s="19"/>
      <c r="G49" s="19"/>
      <c r="H49" s="25"/>
      <c r="I49" s="19"/>
      <c r="J49" s="91"/>
      <c r="K49" s="92"/>
      <c r="L49" s="19"/>
      <c r="M49" s="19"/>
      <c r="N49" s="19"/>
      <c r="O49" s="22"/>
      <c r="P49" s="19"/>
      <c r="Q49" s="19"/>
      <c r="R49" s="19"/>
    </row>
    <row r="50" spans="1:18" s="20" customFormat="1" x14ac:dyDescent="0.25">
      <c r="F50" s="94"/>
      <c r="H50" s="25"/>
      <c r="P50" s="94"/>
    </row>
    <row r="51" spans="1:18" s="20" customFormat="1" ht="25.5" customHeight="1" x14ac:dyDescent="0.25">
      <c r="A51" s="25"/>
      <c r="B51" s="34"/>
      <c r="C51" s="25"/>
      <c r="D51" s="25"/>
      <c r="E51" s="25"/>
      <c r="F51" s="25"/>
      <c r="G51" s="25"/>
      <c r="H51" s="25"/>
      <c r="I51" s="25"/>
      <c r="J51" s="219" t="s">
        <v>375</v>
      </c>
      <c r="K51" s="219"/>
      <c r="L51" s="219"/>
      <c r="M51" s="219"/>
      <c r="N51" s="25"/>
      <c r="O51" s="25"/>
      <c r="P51" s="25"/>
      <c r="Q51" s="25"/>
      <c r="R51" s="25"/>
    </row>
    <row r="52" spans="1:18" s="20" customFormat="1" x14ac:dyDescent="0.25">
      <c r="A52" s="25"/>
      <c r="B52" s="34"/>
      <c r="C52" s="25"/>
      <c r="D52" s="25"/>
      <c r="E52" s="25"/>
      <c r="F52" s="25"/>
      <c r="G52" s="25"/>
      <c r="H52" s="25"/>
      <c r="I52" s="25"/>
      <c r="J52" s="220" t="s">
        <v>376</v>
      </c>
      <c r="K52" s="221"/>
      <c r="L52" s="222"/>
      <c r="M52" s="226" t="s">
        <v>377</v>
      </c>
      <c r="N52" s="227"/>
      <c r="O52" s="227"/>
      <c r="P52" s="228"/>
      <c r="Q52" s="25"/>
      <c r="R52" s="25"/>
    </row>
    <row r="53" spans="1:18" s="20" customFormat="1" x14ac:dyDescent="0.25">
      <c r="A53" s="25"/>
      <c r="B53" s="34"/>
      <c r="C53" s="25"/>
      <c r="D53" s="25"/>
      <c r="E53" s="25"/>
      <c r="F53" s="25"/>
      <c r="G53" s="25"/>
      <c r="H53" s="25"/>
      <c r="I53" s="25"/>
      <c r="J53" s="223"/>
      <c r="K53" s="224"/>
      <c r="L53" s="225"/>
      <c r="M53" s="95" t="s">
        <v>378</v>
      </c>
      <c r="N53" s="95" t="s">
        <v>379</v>
      </c>
      <c r="O53" s="95"/>
      <c r="P53" s="95" t="s">
        <v>380</v>
      </c>
      <c r="Q53" s="25"/>
      <c r="R53" s="25"/>
    </row>
    <row r="54" spans="1:18" s="20" customFormat="1" x14ac:dyDescent="0.25">
      <c r="A54" s="25"/>
      <c r="B54" s="34"/>
      <c r="C54" s="25"/>
      <c r="D54" s="25"/>
      <c r="E54" s="25"/>
      <c r="F54" s="25"/>
      <c r="G54" s="25"/>
      <c r="H54" s="25"/>
      <c r="I54" s="25"/>
      <c r="J54" s="218" t="s">
        <v>381</v>
      </c>
      <c r="K54" s="218"/>
      <c r="L54" s="218"/>
      <c r="M54" s="96" t="s">
        <v>382</v>
      </c>
      <c r="N54" s="96" t="s">
        <v>382</v>
      </c>
      <c r="O54" s="96"/>
      <c r="P54" s="96" t="s">
        <v>382</v>
      </c>
      <c r="Q54" s="25"/>
      <c r="R54" s="25"/>
    </row>
    <row r="55" spans="1:18" s="20" customFormat="1" ht="15.75" customHeight="1" x14ac:dyDescent="0.25">
      <c r="A55" s="25"/>
      <c r="B55" s="34"/>
      <c r="C55" s="25"/>
      <c r="D55" s="25"/>
      <c r="E55" s="25"/>
      <c r="F55" s="25"/>
      <c r="G55" s="25"/>
      <c r="H55" s="25"/>
      <c r="I55" s="25"/>
      <c r="J55" s="218" t="s">
        <v>383</v>
      </c>
      <c r="K55" s="218"/>
      <c r="L55" s="218"/>
      <c r="M55" s="97" t="s">
        <v>384</v>
      </c>
      <c r="N55" s="98" t="s">
        <v>385</v>
      </c>
      <c r="O55" s="98"/>
      <c r="P55" s="98" t="s">
        <v>384</v>
      </c>
      <c r="Q55" s="25"/>
      <c r="R55" s="25"/>
    </row>
    <row r="56" spans="1:18" x14ac:dyDescent="0.25">
      <c r="J56" s="218" t="s">
        <v>386</v>
      </c>
      <c r="K56" s="218"/>
      <c r="L56" s="218"/>
      <c r="M56" s="96" t="s">
        <v>387</v>
      </c>
      <c r="N56" s="96" t="s">
        <v>388</v>
      </c>
      <c r="O56" s="96"/>
      <c r="P56" s="96" t="s">
        <v>389</v>
      </c>
    </row>
    <row r="57" spans="1:18" x14ac:dyDescent="0.25">
      <c r="J57" s="218" t="s">
        <v>390</v>
      </c>
      <c r="K57" s="218"/>
      <c r="L57" s="218"/>
      <c r="M57" s="96" t="s">
        <v>391</v>
      </c>
      <c r="N57" s="96" t="s">
        <v>392</v>
      </c>
      <c r="O57" s="96"/>
      <c r="P57" s="96" t="s">
        <v>392</v>
      </c>
    </row>
  </sheetData>
  <mergeCells count="16">
    <mergeCell ref="A5:C6"/>
    <mergeCell ref="I5:K6"/>
    <mergeCell ref="Q5:R5"/>
    <mergeCell ref="F6:F7"/>
    <mergeCell ref="P6:P7"/>
    <mergeCell ref="Q6:R6"/>
    <mergeCell ref="Q7:R7"/>
    <mergeCell ref="J55:L55"/>
    <mergeCell ref="J56:L56"/>
    <mergeCell ref="J57:L57"/>
    <mergeCell ref="A8:G9"/>
    <mergeCell ref="I8:R9"/>
    <mergeCell ref="J51:M51"/>
    <mergeCell ref="J52:L53"/>
    <mergeCell ref="M52:P52"/>
    <mergeCell ref="J54:L54"/>
  </mergeCells>
  <printOptions horizontalCentered="1"/>
  <pageMargins left="0.31496062992125984" right="0.31496062992125984" top="0.35433070866141736" bottom="0.35433070866141736" header="0.11811023622047245" footer="0.11811023622047245"/>
  <pageSetup scale="65" orientation="landscape" r:id="rId1"/>
  <headerFooter>
    <oddHeader>&amp;R&amp;"Candara,Cursiva"&amp;10B.D. Indicadores Básicos Institucionales</oddHeader>
    <oddFooter>&amp;R&amp;"Candara,Normal"&amp;10Página &amp;P de &amp;N</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5B52-B9D1-40F9-805B-FB6AD4CD1B57}">
  <sheetPr>
    <tabColor theme="5"/>
  </sheetPr>
  <dimension ref="A1:R42"/>
  <sheetViews>
    <sheetView showWhiteSpace="0" zoomScale="86" zoomScaleNormal="86" zoomScaleSheetLayoutView="100" zoomScalePageLayoutView="70" workbookViewId="0">
      <selection activeCell="A10" sqref="A10"/>
    </sheetView>
  </sheetViews>
  <sheetFormatPr baseColWidth="10" defaultColWidth="11.42578125" defaultRowHeight="15" x14ac:dyDescent="0.25"/>
  <cols>
    <col min="1" max="1" width="4.7109375" customWidth="1"/>
    <col min="2" max="2" width="16.7109375" bestFit="1" customWidth="1"/>
    <col min="3" max="3" width="43.28515625" customWidth="1"/>
    <col min="4" max="4" width="7.140625" bestFit="1" customWidth="1"/>
    <col min="5" max="5" width="19.42578125" customWidth="1"/>
    <col min="6" max="6" width="50.140625" customWidth="1"/>
    <col min="7" max="7" width="24.140625" customWidth="1"/>
    <col min="8" max="8" width="19.5703125" customWidth="1"/>
    <col min="9" max="9" width="14.140625" customWidth="1"/>
  </cols>
  <sheetData>
    <row r="1" spans="1:18" s="25" customFormat="1" ht="21" x14ac:dyDescent="0.25">
      <c r="A1" s="1" t="s">
        <v>0</v>
      </c>
      <c r="B1" s="1"/>
      <c r="C1" s="1"/>
      <c r="D1" s="1"/>
      <c r="J1"/>
      <c r="P1"/>
      <c r="Q1"/>
      <c r="R1"/>
    </row>
    <row r="2" spans="1:18" s="25" customFormat="1" x14ac:dyDescent="0.25">
      <c r="A2" s="5" t="s">
        <v>1</v>
      </c>
      <c r="B2" s="5"/>
      <c r="C2" s="5"/>
      <c r="D2" s="5"/>
      <c r="J2"/>
      <c r="P2"/>
      <c r="Q2"/>
      <c r="R2"/>
    </row>
    <row r="3" spans="1:18" s="25" customFormat="1" ht="20.25" customHeight="1" thickBot="1" x14ac:dyDescent="0.3">
      <c r="A3" s="99" t="s">
        <v>522</v>
      </c>
      <c r="B3" s="6"/>
      <c r="C3" s="6"/>
      <c r="D3" s="6"/>
      <c r="E3" s="7"/>
      <c r="F3" s="7"/>
      <c r="G3" s="7"/>
      <c r="H3" s="7"/>
      <c r="I3" s="7"/>
      <c r="J3"/>
      <c r="P3"/>
      <c r="Q3"/>
      <c r="R3"/>
    </row>
    <row r="4" spans="1:18" ht="7.5" customHeight="1" thickTop="1" thickBot="1" x14ac:dyDescent="0.3"/>
    <row r="5" spans="1:18" ht="15" customHeight="1" thickTop="1" thickBot="1" x14ac:dyDescent="0.3">
      <c r="A5" s="229" t="s">
        <v>548</v>
      </c>
      <c r="B5" s="229"/>
      <c r="C5" s="229"/>
      <c r="G5" s="100" t="s">
        <v>23</v>
      </c>
      <c r="H5" s="201" t="s">
        <v>24</v>
      </c>
      <c r="I5" s="203"/>
    </row>
    <row r="6" spans="1:18" ht="15.75" thickTop="1" x14ac:dyDescent="0.25">
      <c r="A6" s="229"/>
      <c r="B6" s="229"/>
      <c r="C6" s="229"/>
      <c r="E6" s="25"/>
      <c r="F6" s="25"/>
      <c r="G6" s="230">
        <v>45035</v>
      </c>
      <c r="H6" s="232" t="s">
        <v>25</v>
      </c>
      <c r="I6" s="233"/>
    </row>
    <row r="7" spans="1:18" ht="15.75" thickBot="1" x14ac:dyDescent="0.3">
      <c r="E7" s="25"/>
      <c r="F7" s="25"/>
      <c r="G7" s="231"/>
      <c r="H7" s="234" t="s">
        <v>393</v>
      </c>
      <c r="I7" s="235"/>
    </row>
    <row r="8" spans="1:18" ht="15" customHeight="1" thickTop="1" x14ac:dyDescent="0.25">
      <c r="A8" s="182" t="s">
        <v>549</v>
      </c>
      <c r="B8" s="182"/>
      <c r="C8" s="182"/>
      <c r="D8" s="182"/>
      <c r="E8" s="182"/>
      <c r="F8" s="182"/>
      <c r="G8" s="182"/>
      <c r="H8" s="182"/>
    </row>
    <row r="9" spans="1:18" x14ac:dyDescent="0.25">
      <c r="A9" s="183"/>
      <c r="B9" s="183"/>
      <c r="C9" s="183"/>
      <c r="D9" s="183"/>
      <c r="E9" s="183"/>
      <c r="F9" s="183"/>
      <c r="G9" s="183"/>
      <c r="H9" s="183"/>
    </row>
    <row r="10" spans="1:18" s="20" customFormat="1" ht="33.75" customHeight="1" x14ac:dyDescent="0.25">
      <c r="A10" s="17" t="s">
        <v>27</v>
      </c>
      <c r="B10" s="17" t="s">
        <v>350</v>
      </c>
      <c r="C10" s="17" t="s">
        <v>394</v>
      </c>
      <c r="D10" s="17" t="s">
        <v>352</v>
      </c>
      <c r="E10" s="17" t="s">
        <v>395</v>
      </c>
      <c r="F10" s="17" t="s">
        <v>396</v>
      </c>
      <c r="G10" s="17" t="s">
        <v>397</v>
      </c>
      <c r="H10" s="17" t="s">
        <v>275</v>
      </c>
      <c r="I10" s="25"/>
      <c r="J10" s="101"/>
    </row>
    <row r="11" spans="1:18" s="108" customFormat="1" ht="45" x14ac:dyDescent="0.25">
      <c r="A11" s="102">
        <v>1</v>
      </c>
      <c r="B11" s="55">
        <v>18791032</v>
      </c>
      <c r="C11" s="85" t="s">
        <v>280</v>
      </c>
      <c r="D11" s="55" t="s">
        <v>277</v>
      </c>
      <c r="E11" s="103" t="s">
        <v>398</v>
      </c>
      <c r="F11" s="55" t="s">
        <v>399</v>
      </c>
      <c r="G11" s="104">
        <v>45007</v>
      </c>
      <c r="H11" s="105">
        <v>2018</v>
      </c>
      <c r="I11" s="106"/>
      <c r="J11" s="107"/>
    </row>
    <row r="12" spans="1:18" s="108" customFormat="1" ht="45" x14ac:dyDescent="0.25">
      <c r="A12" s="102">
        <v>2</v>
      </c>
      <c r="B12" s="55">
        <v>18791026</v>
      </c>
      <c r="C12" s="85" t="s">
        <v>282</v>
      </c>
      <c r="D12" s="55" t="s">
        <v>278</v>
      </c>
      <c r="E12" s="103" t="s">
        <v>398</v>
      </c>
      <c r="F12" s="55" t="s">
        <v>399</v>
      </c>
      <c r="G12" s="104">
        <v>45007</v>
      </c>
      <c r="H12" s="105">
        <v>2018</v>
      </c>
      <c r="I12" s="106"/>
      <c r="J12" s="107"/>
    </row>
    <row r="13" spans="1:18" s="108" customFormat="1" ht="75" x14ac:dyDescent="0.25">
      <c r="A13" s="163">
        <v>3</v>
      </c>
      <c r="B13" s="164">
        <v>18791010</v>
      </c>
      <c r="C13" s="165" t="s">
        <v>517</v>
      </c>
      <c r="D13" s="164" t="s">
        <v>277</v>
      </c>
      <c r="E13" s="166" t="s">
        <v>518</v>
      </c>
      <c r="F13" s="164" t="s">
        <v>519</v>
      </c>
      <c r="G13" s="167">
        <v>45044</v>
      </c>
      <c r="H13" s="168">
        <v>2018</v>
      </c>
      <c r="I13" s="108" t="s">
        <v>521</v>
      </c>
      <c r="J13" s="107"/>
    </row>
    <row r="14" spans="1:18" s="108" customFormat="1" ht="45" x14ac:dyDescent="0.25">
      <c r="A14" s="169">
        <v>4</v>
      </c>
      <c r="B14" s="170">
        <v>18791019</v>
      </c>
      <c r="C14" s="171" t="s">
        <v>292</v>
      </c>
      <c r="D14" s="170" t="s">
        <v>278</v>
      </c>
      <c r="E14" s="172" t="s">
        <v>398</v>
      </c>
      <c r="F14" s="170" t="s">
        <v>520</v>
      </c>
      <c r="G14" s="173">
        <v>45057</v>
      </c>
      <c r="H14" s="174">
        <v>2018</v>
      </c>
      <c r="I14" s="106"/>
      <c r="J14" s="107"/>
    </row>
    <row r="15" spans="1:18" s="108" customFormat="1" ht="45" x14ac:dyDescent="0.25">
      <c r="A15" s="169">
        <v>5</v>
      </c>
      <c r="B15" s="170">
        <v>18791005</v>
      </c>
      <c r="C15" s="171" t="s">
        <v>290</v>
      </c>
      <c r="D15" s="170" t="s">
        <v>277</v>
      </c>
      <c r="E15" s="172" t="s">
        <v>398</v>
      </c>
      <c r="F15" s="170" t="s">
        <v>520</v>
      </c>
      <c r="G15" s="173">
        <v>45057</v>
      </c>
      <c r="H15" s="174">
        <v>2018</v>
      </c>
      <c r="I15" s="106"/>
      <c r="J15" s="107"/>
    </row>
    <row r="16" spans="1:18" s="108" customFormat="1" ht="15.75" x14ac:dyDescent="0.25">
      <c r="A16" s="109"/>
      <c r="B16" s="19"/>
      <c r="C16" s="74"/>
      <c r="D16" s="19"/>
      <c r="E16" s="110"/>
      <c r="F16" s="19"/>
      <c r="G16" s="111"/>
      <c r="H16" s="112"/>
      <c r="J16" s="107"/>
    </row>
    <row r="17" spans="1:10" s="108" customFormat="1" ht="15.75" x14ac:dyDescent="0.25">
      <c r="A17" s="109"/>
      <c r="B17" s="19"/>
      <c r="C17" s="74"/>
      <c r="D17" s="19"/>
      <c r="E17" s="110"/>
      <c r="F17" s="19"/>
      <c r="G17" s="111"/>
      <c r="H17" s="112"/>
      <c r="J17" s="107"/>
    </row>
    <row r="18" spans="1:10" s="108" customFormat="1" ht="15.75" x14ac:dyDescent="0.25">
      <c r="A18" s="109"/>
      <c r="B18" s="19"/>
      <c r="C18" s="74"/>
      <c r="D18" s="19"/>
      <c r="E18" s="110"/>
      <c r="F18" s="19"/>
      <c r="G18" s="111"/>
      <c r="H18" s="112"/>
      <c r="I18" s="106"/>
      <c r="J18" s="107"/>
    </row>
    <row r="19" spans="1:10" s="108" customFormat="1" ht="15.75" x14ac:dyDescent="0.25">
      <c r="A19" s="109"/>
      <c r="B19" s="19"/>
      <c r="C19" s="74"/>
      <c r="D19" s="19"/>
      <c r="E19" s="110"/>
      <c r="F19" s="19"/>
      <c r="G19" s="111"/>
      <c r="H19" s="112"/>
      <c r="I19" s="106"/>
      <c r="J19" s="107"/>
    </row>
    <row r="20" spans="1:10" s="108" customFormat="1" ht="15.75" x14ac:dyDescent="0.25">
      <c r="A20" s="109"/>
      <c r="B20" s="19"/>
      <c r="C20" s="74"/>
      <c r="D20" s="19"/>
      <c r="E20" s="110"/>
      <c r="F20" s="19"/>
      <c r="G20" s="111"/>
      <c r="H20" s="112"/>
      <c r="I20" s="106"/>
      <c r="J20" s="107"/>
    </row>
    <row r="21" spans="1:10" s="108" customFormat="1" ht="15.75" x14ac:dyDescent="0.25">
      <c r="A21" s="109"/>
      <c r="B21" s="19"/>
      <c r="C21" s="19"/>
      <c r="D21" s="19"/>
      <c r="E21" s="112"/>
      <c r="F21" s="112"/>
      <c r="G21" s="112"/>
      <c r="H21" s="112"/>
      <c r="I21" s="106"/>
      <c r="J21" s="107"/>
    </row>
    <row r="22" spans="1:10" s="108" customFormat="1" ht="15.75" x14ac:dyDescent="0.25">
      <c r="A22" s="109"/>
      <c r="B22" s="19"/>
      <c r="C22" s="112"/>
      <c r="D22" s="112"/>
      <c r="E22" s="112"/>
      <c r="F22" s="112"/>
      <c r="G22" s="112"/>
      <c r="H22" s="112"/>
      <c r="I22" s="106"/>
      <c r="J22" s="107"/>
    </row>
    <row r="23" spans="1:10" s="108" customFormat="1" ht="15.75" x14ac:dyDescent="0.25">
      <c r="A23" s="109"/>
      <c r="B23" s="19"/>
      <c r="C23" s="112"/>
      <c r="D23" s="112"/>
      <c r="E23" s="112"/>
      <c r="F23" s="112"/>
      <c r="G23" s="19"/>
      <c r="H23" s="19"/>
      <c r="I23" s="106"/>
      <c r="J23" s="107"/>
    </row>
    <row r="24" spans="1:10" s="108" customFormat="1" ht="15.75" x14ac:dyDescent="0.25">
      <c r="A24" s="109"/>
      <c r="B24" s="19"/>
      <c r="C24" s="112"/>
      <c r="D24" s="112"/>
      <c r="E24" s="112"/>
      <c r="F24" s="112"/>
      <c r="G24" s="19"/>
      <c r="H24" s="19"/>
      <c r="I24" s="106"/>
      <c r="J24" s="107"/>
    </row>
    <row r="25" spans="1:10" s="108" customFormat="1" ht="15.75" x14ac:dyDescent="0.25">
      <c r="A25" s="109"/>
      <c r="B25" s="19"/>
      <c r="C25" s="112"/>
      <c r="D25" s="112"/>
      <c r="E25" s="112"/>
      <c r="F25" s="112"/>
      <c r="G25" s="19"/>
      <c r="H25" s="19"/>
      <c r="I25" s="106"/>
      <c r="J25" s="107"/>
    </row>
    <row r="26" spans="1:10" s="108" customFormat="1" ht="15.75" x14ac:dyDescent="0.25">
      <c r="A26" s="109"/>
      <c r="B26" s="19"/>
      <c r="C26" s="112"/>
      <c r="D26" s="112"/>
      <c r="E26" s="112"/>
      <c r="F26" s="112"/>
      <c r="G26" s="19"/>
      <c r="H26" s="19"/>
      <c r="I26" s="106"/>
      <c r="J26" s="107"/>
    </row>
    <row r="27" spans="1:10" s="108" customFormat="1" ht="15.75" x14ac:dyDescent="0.25">
      <c r="A27" s="109"/>
      <c r="B27" s="109"/>
      <c r="C27" s="109"/>
      <c r="D27" s="109"/>
      <c r="E27" s="109"/>
      <c r="F27" s="109"/>
      <c r="G27" s="109"/>
      <c r="H27" s="109"/>
      <c r="I27" s="106"/>
      <c r="J27" s="107"/>
    </row>
    <row r="28" spans="1:10" s="108" customFormat="1" ht="15.75" x14ac:dyDescent="0.25">
      <c r="A28" s="109"/>
      <c r="B28" s="109"/>
      <c r="C28" s="109"/>
      <c r="D28" s="109"/>
      <c r="E28" s="109"/>
      <c r="F28" s="109"/>
      <c r="G28" s="109"/>
      <c r="H28" s="109"/>
      <c r="I28" s="106"/>
      <c r="J28" s="107"/>
    </row>
    <row r="29" spans="1:10" s="108" customFormat="1" ht="15.75" x14ac:dyDescent="0.25">
      <c r="A29" s="109"/>
      <c r="B29" s="109"/>
      <c r="C29" s="109"/>
      <c r="D29" s="109"/>
      <c r="E29" s="109"/>
      <c r="F29" s="109"/>
      <c r="G29" s="109"/>
      <c r="H29" s="109"/>
      <c r="I29" s="106"/>
      <c r="J29" s="107"/>
    </row>
    <row r="30" spans="1:10" s="108" customFormat="1" ht="15.75" x14ac:dyDescent="0.25">
      <c r="A30" s="109"/>
      <c r="B30" s="109"/>
      <c r="C30" s="109"/>
      <c r="D30" s="109"/>
      <c r="E30" s="109"/>
      <c r="F30" s="109"/>
      <c r="G30" s="109"/>
      <c r="H30" s="109"/>
      <c r="I30" s="106"/>
      <c r="J30" s="107"/>
    </row>
    <row r="31" spans="1:10" s="108" customFormat="1" ht="15.75" x14ac:dyDescent="0.25">
      <c r="A31" s="109"/>
      <c r="B31" s="109"/>
      <c r="C31" s="109"/>
      <c r="D31" s="109"/>
      <c r="E31" s="109"/>
      <c r="F31" s="109"/>
      <c r="G31" s="109"/>
      <c r="H31" s="109"/>
      <c r="I31" s="106"/>
      <c r="J31" s="107"/>
    </row>
    <row r="32" spans="1:10" s="108" customFormat="1" ht="15.75" x14ac:dyDescent="0.25">
      <c r="A32" s="109"/>
      <c r="B32" s="109"/>
      <c r="C32" s="109"/>
      <c r="D32" s="109"/>
      <c r="E32" s="109"/>
      <c r="F32" s="109"/>
      <c r="G32" s="109"/>
      <c r="H32" s="109"/>
      <c r="I32" s="106"/>
      <c r="J32" s="107"/>
    </row>
    <row r="33" spans="1:10" s="108" customFormat="1" ht="15.75" x14ac:dyDescent="0.25">
      <c r="A33" s="109"/>
      <c r="B33" s="109"/>
      <c r="C33" s="109"/>
      <c r="D33" s="109"/>
      <c r="E33" s="109"/>
      <c r="F33" s="109"/>
      <c r="G33" s="109"/>
      <c r="H33" s="109"/>
      <c r="I33" s="106"/>
      <c r="J33" s="107"/>
    </row>
    <row r="34" spans="1:10" s="108" customFormat="1" ht="15.75" x14ac:dyDescent="0.25">
      <c r="A34" s="109"/>
      <c r="B34" s="109"/>
      <c r="C34" s="109"/>
      <c r="D34" s="109"/>
      <c r="E34" s="109"/>
      <c r="F34" s="109"/>
      <c r="G34" s="109"/>
      <c r="H34" s="109"/>
      <c r="I34" s="106"/>
      <c r="J34" s="107"/>
    </row>
    <row r="35" spans="1:10" s="108" customFormat="1" ht="15.75" x14ac:dyDescent="0.25">
      <c r="A35" s="109"/>
      <c r="B35" s="109"/>
      <c r="C35" s="109"/>
      <c r="D35" s="109"/>
      <c r="E35" s="109"/>
      <c r="F35" s="109"/>
      <c r="G35" s="109"/>
      <c r="H35" s="109"/>
      <c r="I35" s="106"/>
      <c r="J35" s="107"/>
    </row>
    <row r="36" spans="1:10" s="108" customFormat="1" ht="15.75" x14ac:dyDescent="0.25">
      <c r="A36" s="109"/>
      <c r="B36" s="109"/>
      <c r="C36" s="109"/>
      <c r="D36" s="109"/>
      <c r="E36" s="109"/>
      <c r="F36" s="109"/>
      <c r="G36" s="109"/>
      <c r="H36" s="109"/>
      <c r="I36" s="106"/>
      <c r="J36" s="107"/>
    </row>
    <row r="37" spans="1:10" s="108" customFormat="1" ht="15.75" x14ac:dyDescent="0.25">
      <c r="A37" s="109"/>
      <c r="B37" s="109"/>
      <c r="C37" s="109"/>
      <c r="D37" s="109"/>
      <c r="E37" s="109"/>
      <c r="F37" s="109"/>
      <c r="G37" s="109"/>
      <c r="H37" s="109"/>
      <c r="I37" s="106"/>
      <c r="J37" s="107"/>
    </row>
    <row r="38" spans="1:10" s="108" customFormat="1" ht="15.75" x14ac:dyDescent="0.25">
      <c r="A38" s="109"/>
      <c r="B38" s="109"/>
      <c r="C38" s="109"/>
      <c r="D38" s="109"/>
      <c r="E38" s="109"/>
      <c r="F38" s="109"/>
      <c r="G38" s="109"/>
      <c r="H38" s="109"/>
      <c r="I38" s="106"/>
      <c r="J38" s="107"/>
    </row>
    <row r="39" spans="1:10" s="108" customFormat="1" ht="15.75" x14ac:dyDescent="0.25">
      <c r="A39" s="109"/>
      <c r="B39" s="109"/>
      <c r="C39" s="109"/>
      <c r="D39" s="109"/>
      <c r="E39" s="109"/>
      <c r="F39" s="109"/>
      <c r="G39" s="109"/>
      <c r="H39" s="109"/>
      <c r="I39" s="106"/>
      <c r="J39" s="107"/>
    </row>
    <row r="40" spans="1:10" s="108" customFormat="1" ht="15.75" x14ac:dyDescent="0.25">
      <c r="A40" s="109"/>
      <c r="B40" s="109"/>
      <c r="C40" s="109"/>
      <c r="D40" s="109"/>
      <c r="E40" s="109"/>
      <c r="F40" s="109"/>
      <c r="G40" s="109"/>
      <c r="H40" s="109"/>
      <c r="I40" s="106"/>
      <c r="J40" s="107"/>
    </row>
    <row r="41" spans="1:10" s="108" customFormat="1" ht="15.75" x14ac:dyDescent="0.25">
      <c r="A41" s="109"/>
      <c r="B41" s="109"/>
      <c r="C41" s="109"/>
      <c r="D41" s="109"/>
      <c r="E41" s="109"/>
      <c r="F41" s="109"/>
      <c r="G41" s="109"/>
      <c r="H41" s="109"/>
      <c r="I41" s="106"/>
      <c r="J41" s="107"/>
    </row>
    <row r="42" spans="1:10" s="108" customFormat="1" ht="15.75" x14ac:dyDescent="0.25">
      <c r="A42" s="109"/>
      <c r="B42" s="109"/>
      <c r="C42" s="109"/>
      <c r="D42" s="109"/>
      <c r="E42" s="109"/>
      <c r="F42" s="109"/>
      <c r="G42" s="109"/>
      <c r="H42" s="109"/>
      <c r="I42" s="106"/>
      <c r="J42" s="107"/>
    </row>
  </sheetData>
  <mergeCells count="6">
    <mergeCell ref="A8:H9"/>
    <mergeCell ref="A5:C6"/>
    <mergeCell ref="H5:I5"/>
    <mergeCell ref="G6:G7"/>
    <mergeCell ref="H6:I6"/>
    <mergeCell ref="H7:I7"/>
  </mergeCells>
  <printOptions horizontalCentered="1"/>
  <pageMargins left="0.31496062992125984" right="0.31496062992125984" top="0.35433070866141736" bottom="0.35433070866141736" header="0.11811023622047245" footer="0.11811023622047245"/>
  <pageSetup scale="65" orientation="landscape" r:id="rId1"/>
  <headerFooter>
    <oddHeader>&amp;R&amp;"Candara,Cursiva"&amp;10B.D. Indicadores Básicos Institucionales</oddHeader>
    <oddFooter>&amp;R&amp;"Candara,Normal"&amp;10Página &amp;P de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AD78-3379-4B26-BD06-6653CB22F961}">
  <sheetPr>
    <tabColor theme="5"/>
  </sheetPr>
  <dimension ref="A1:P39"/>
  <sheetViews>
    <sheetView showWhiteSpace="0" topLeftCell="D1" zoomScale="84" zoomScaleNormal="84" zoomScaleSheetLayoutView="70" zoomScalePageLayoutView="70" workbookViewId="0">
      <selection activeCell="F6" sqref="F6:F7"/>
    </sheetView>
  </sheetViews>
  <sheetFormatPr baseColWidth="10" defaultColWidth="11.42578125" defaultRowHeight="15.75" x14ac:dyDescent="0.25"/>
  <cols>
    <col min="1" max="1" width="4.7109375" customWidth="1"/>
    <col min="2" max="2" width="16.7109375" bestFit="1" customWidth="1"/>
    <col min="3" max="3" width="43.28515625" customWidth="1"/>
    <col min="4" max="4" width="7.7109375" customWidth="1"/>
    <col min="5" max="5" width="28" customWidth="1"/>
    <col min="6" max="6" width="49.85546875" style="106" customWidth="1"/>
    <col min="7" max="7" width="65.5703125" customWidth="1"/>
  </cols>
  <sheetData>
    <row r="1" spans="1:16" s="25" customFormat="1" ht="21" x14ac:dyDescent="0.25">
      <c r="A1" s="1" t="s">
        <v>0</v>
      </c>
      <c r="B1" s="1"/>
      <c r="C1" s="1"/>
      <c r="D1" s="1"/>
      <c r="F1" s="3"/>
      <c r="H1"/>
      <c r="N1"/>
      <c r="O1"/>
      <c r="P1"/>
    </row>
    <row r="2" spans="1:16" s="25" customFormat="1" x14ac:dyDescent="0.25">
      <c r="A2" s="5" t="s">
        <v>1</v>
      </c>
      <c r="B2" s="5"/>
      <c r="C2" s="5"/>
      <c r="D2" s="5"/>
      <c r="F2" s="3"/>
      <c r="H2"/>
      <c r="N2"/>
      <c r="O2"/>
      <c r="P2"/>
    </row>
    <row r="3" spans="1:16" s="25" customFormat="1" ht="20.25" customHeight="1" thickBot="1" x14ac:dyDescent="0.3">
      <c r="A3" s="6" t="s">
        <v>522</v>
      </c>
      <c r="B3" s="6"/>
      <c r="C3" s="6"/>
      <c r="D3" s="7"/>
      <c r="E3" s="7"/>
      <c r="F3" s="8"/>
      <c r="G3" s="7"/>
      <c r="H3"/>
      <c r="N3"/>
      <c r="O3"/>
      <c r="P3"/>
    </row>
    <row r="4" spans="1:16" ht="7.5" customHeight="1" thickTop="1" thickBot="1" x14ac:dyDescent="0.3"/>
    <row r="5" spans="1:16" ht="15" customHeight="1" thickTop="1" thickBot="1" x14ac:dyDescent="0.3">
      <c r="A5" s="229" t="s">
        <v>400</v>
      </c>
      <c r="B5" s="229"/>
      <c r="C5" s="229"/>
      <c r="D5" s="28"/>
      <c r="F5" s="113" t="s">
        <v>23</v>
      </c>
      <c r="G5" s="78" t="s">
        <v>24</v>
      </c>
    </row>
    <row r="6" spans="1:16" ht="15.75" customHeight="1" thickTop="1" x14ac:dyDescent="0.25">
      <c r="A6" s="229"/>
      <c r="B6" s="229"/>
      <c r="C6" s="229"/>
      <c r="D6" s="28"/>
      <c r="E6" s="25"/>
      <c r="F6" s="236"/>
      <c r="G6" s="81" t="s">
        <v>25</v>
      </c>
    </row>
    <row r="7" spans="1:16" thickBot="1" x14ac:dyDescent="0.3">
      <c r="E7" s="25"/>
      <c r="F7" s="237"/>
      <c r="G7" s="82" t="s">
        <v>393</v>
      </c>
    </row>
    <row r="8" spans="1:16" ht="15" customHeight="1" thickTop="1" x14ac:dyDescent="0.25">
      <c r="A8" s="182" t="s">
        <v>550</v>
      </c>
      <c r="B8" s="182"/>
      <c r="C8" s="182"/>
      <c r="D8" s="182"/>
      <c r="E8" s="182"/>
      <c r="F8" s="182"/>
      <c r="G8" s="182"/>
    </row>
    <row r="9" spans="1:16" ht="15" x14ac:dyDescent="0.25">
      <c r="A9" s="183"/>
      <c r="B9" s="183"/>
      <c r="C9" s="183"/>
      <c r="D9" s="183"/>
      <c r="E9" s="183"/>
      <c r="F9" s="183"/>
      <c r="G9" s="183"/>
    </row>
    <row r="10" spans="1:16" s="20" customFormat="1" ht="37.5" x14ac:dyDescent="0.25">
      <c r="A10" s="17" t="s">
        <v>27</v>
      </c>
      <c r="B10" s="17" t="s">
        <v>350</v>
      </c>
      <c r="C10" s="18" t="s">
        <v>351</v>
      </c>
      <c r="D10" s="17" t="s">
        <v>352</v>
      </c>
      <c r="E10" s="17" t="s">
        <v>401</v>
      </c>
      <c r="F10" s="17" t="s">
        <v>402</v>
      </c>
      <c r="G10" s="17" t="s">
        <v>396</v>
      </c>
      <c r="H10" s="114"/>
    </row>
    <row r="11" spans="1:16" x14ac:dyDescent="0.25">
      <c r="A11" s="115">
        <v>1</v>
      </c>
      <c r="B11" s="116">
        <v>20791036</v>
      </c>
      <c r="C11" s="117" t="s">
        <v>403</v>
      </c>
      <c r="D11" s="118" t="s">
        <v>277</v>
      </c>
      <c r="E11" s="119" t="s">
        <v>3</v>
      </c>
      <c r="F11" s="119" t="s">
        <v>404</v>
      </c>
      <c r="G11" s="119" t="s">
        <v>405</v>
      </c>
    </row>
    <row r="12" spans="1:16" x14ac:dyDescent="0.25">
      <c r="A12" s="115">
        <v>2</v>
      </c>
      <c r="B12" s="116">
        <v>20791014</v>
      </c>
      <c r="C12" s="117" t="s">
        <v>406</v>
      </c>
      <c r="D12" s="118" t="s">
        <v>277</v>
      </c>
      <c r="E12" s="119" t="s">
        <v>3</v>
      </c>
      <c r="F12" s="119" t="s">
        <v>404</v>
      </c>
      <c r="G12" s="119" t="s">
        <v>407</v>
      </c>
    </row>
    <row r="13" spans="1:16" ht="15" x14ac:dyDescent="0.25">
      <c r="A13" s="115">
        <v>3</v>
      </c>
      <c r="B13" s="116">
        <v>20791033</v>
      </c>
      <c r="C13" s="117" t="s">
        <v>408</v>
      </c>
      <c r="D13" s="119" t="s">
        <v>277</v>
      </c>
      <c r="E13" s="119" t="s">
        <v>3</v>
      </c>
      <c r="F13" s="119" t="s">
        <v>404</v>
      </c>
      <c r="G13" s="119" t="s">
        <v>409</v>
      </c>
    </row>
    <row r="14" spans="1:16" ht="15" x14ac:dyDescent="0.25">
      <c r="A14" s="115">
        <v>4</v>
      </c>
      <c r="B14" s="116">
        <v>20791010</v>
      </c>
      <c r="C14" s="117" t="s">
        <v>410</v>
      </c>
      <c r="D14" s="119" t="s">
        <v>277</v>
      </c>
      <c r="E14" s="119" t="s">
        <v>3</v>
      </c>
      <c r="F14" s="119" t="s">
        <v>404</v>
      </c>
      <c r="G14" s="119" t="s">
        <v>409</v>
      </c>
    </row>
    <row r="15" spans="1:16" x14ac:dyDescent="0.25">
      <c r="A15" s="115">
        <v>5</v>
      </c>
      <c r="B15" s="116">
        <v>20791009</v>
      </c>
      <c r="C15" s="117" t="s">
        <v>411</v>
      </c>
      <c r="D15" s="118" t="s">
        <v>277</v>
      </c>
      <c r="E15" s="119" t="s">
        <v>3</v>
      </c>
      <c r="F15" s="119" t="s">
        <v>404</v>
      </c>
      <c r="G15" s="119" t="s">
        <v>409</v>
      </c>
    </row>
    <row r="16" spans="1:16" x14ac:dyDescent="0.25">
      <c r="A16" s="115">
        <v>6</v>
      </c>
      <c r="B16" s="116">
        <v>20791001</v>
      </c>
      <c r="C16" s="117" t="s">
        <v>412</v>
      </c>
      <c r="D16" s="118" t="s">
        <v>277</v>
      </c>
      <c r="E16" s="119" t="s">
        <v>3</v>
      </c>
      <c r="F16" s="119" t="s">
        <v>404</v>
      </c>
      <c r="G16" s="119" t="s">
        <v>413</v>
      </c>
    </row>
    <row r="17" spans="1:13" x14ac:dyDescent="0.25">
      <c r="A17" s="120"/>
      <c r="B17" s="121"/>
      <c r="C17" s="122"/>
      <c r="D17" s="123"/>
      <c r="E17" s="53"/>
      <c r="F17" s="53"/>
      <c r="G17" s="109"/>
      <c r="I17" s="238" t="s">
        <v>414</v>
      </c>
      <c r="J17" s="238"/>
      <c r="K17" s="238"/>
      <c r="L17" s="238"/>
      <c r="M17" s="238"/>
    </row>
    <row r="18" spans="1:13" x14ac:dyDescent="0.25">
      <c r="A18" s="120"/>
      <c r="B18" s="121"/>
      <c r="C18" s="122"/>
      <c r="D18" s="123"/>
      <c r="E18" s="53"/>
      <c r="F18" s="53"/>
      <c r="G18" s="109"/>
      <c r="I18" s="238"/>
      <c r="J18" s="238"/>
      <c r="K18" s="238"/>
      <c r="L18" s="238"/>
      <c r="M18" s="238"/>
    </row>
    <row r="19" spans="1:13" x14ac:dyDescent="0.25">
      <c r="A19" s="120"/>
      <c r="B19" s="121"/>
      <c r="C19" s="122"/>
      <c r="D19" s="53"/>
      <c r="E19" s="53"/>
      <c r="F19" s="53"/>
      <c r="G19" s="109"/>
      <c r="I19" s="238"/>
      <c r="J19" s="238"/>
      <c r="K19" s="238"/>
      <c r="L19" s="238"/>
      <c r="M19" s="238"/>
    </row>
    <row r="20" spans="1:13" x14ac:dyDescent="0.25">
      <c r="A20" s="120"/>
      <c r="B20" s="121"/>
      <c r="C20" s="122"/>
      <c r="D20" s="123"/>
      <c r="E20" s="53"/>
      <c r="F20" s="53"/>
      <c r="G20" s="109"/>
      <c r="I20" s="238"/>
      <c r="J20" s="238"/>
      <c r="K20" s="238"/>
      <c r="L20" s="238"/>
      <c r="M20" s="238"/>
    </row>
    <row r="21" spans="1:13" x14ac:dyDescent="0.25">
      <c r="A21" s="124"/>
      <c r="B21" s="125"/>
      <c r="C21" s="122"/>
      <c r="D21" s="125"/>
      <c r="E21" s="125"/>
      <c r="F21" s="125"/>
      <c r="G21" s="126"/>
      <c r="I21" s="238"/>
      <c r="J21" s="238"/>
      <c r="K21" s="238"/>
      <c r="L21" s="238"/>
      <c r="M21" s="238"/>
    </row>
    <row r="22" spans="1:13" x14ac:dyDescent="0.25">
      <c r="A22" s="124"/>
      <c r="B22" s="125"/>
      <c r="C22" s="122"/>
      <c r="D22" s="125"/>
      <c r="E22" s="125"/>
      <c r="F22" s="125"/>
      <c r="G22" s="126"/>
      <c r="I22" s="238"/>
      <c r="J22" s="238"/>
      <c r="K22" s="238"/>
      <c r="L22" s="238"/>
      <c r="M22" s="238"/>
    </row>
    <row r="23" spans="1:13" x14ac:dyDescent="0.25">
      <c r="A23" s="124"/>
      <c r="B23" s="125"/>
      <c r="C23" s="122"/>
      <c r="D23" s="125"/>
      <c r="E23" s="125"/>
      <c r="F23" s="125"/>
      <c r="G23" s="126"/>
      <c r="I23" s="238"/>
      <c r="J23" s="238"/>
      <c r="K23" s="238"/>
      <c r="L23" s="238"/>
      <c r="M23" s="238"/>
    </row>
    <row r="24" spans="1:13" x14ac:dyDescent="0.25">
      <c r="A24" s="124"/>
      <c r="B24" s="125"/>
      <c r="C24" s="122"/>
      <c r="D24" s="125"/>
      <c r="E24" s="125"/>
      <c r="F24" s="125"/>
      <c r="G24" s="126"/>
    </row>
    <row r="25" spans="1:13" x14ac:dyDescent="0.25">
      <c r="A25" s="124"/>
      <c r="B25" s="125"/>
      <c r="C25" s="112"/>
      <c r="D25" s="125"/>
      <c r="E25" s="125"/>
      <c r="F25" s="125"/>
      <c r="G25" s="126"/>
    </row>
    <row r="26" spans="1:13" x14ac:dyDescent="0.25">
      <c r="A26" s="124"/>
      <c r="B26" s="125"/>
      <c r="C26" s="112"/>
      <c r="D26" s="125"/>
      <c r="E26" s="125"/>
      <c r="F26" s="125"/>
      <c r="G26" s="126"/>
    </row>
    <row r="27" spans="1:13" x14ac:dyDescent="0.25">
      <c r="A27" s="124"/>
      <c r="B27" s="125"/>
      <c r="C27" s="112"/>
      <c r="D27" s="125"/>
      <c r="E27" s="125"/>
      <c r="F27" s="125"/>
      <c r="G27" s="126"/>
    </row>
    <row r="28" spans="1:13" x14ac:dyDescent="0.25">
      <c r="A28" s="124"/>
      <c r="B28" s="125"/>
      <c r="C28" s="112"/>
      <c r="D28" s="125"/>
      <c r="E28" s="125"/>
      <c r="F28" s="125"/>
      <c r="G28" s="126"/>
    </row>
    <row r="29" spans="1:13" x14ac:dyDescent="0.25">
      <c r="A29" s="124"/>
      <c r="B29" s="125"/>
      <c r="C29" s="112"/>
      <c r="D29" s="125"/>
      <c r="E29" s="125"/>
      <c r="F29" s="125"/>
      <c r="G29" s="126"/>
    </row>
    <row r="30" spans="1:13" x14ac:dyDescent="0.25">
      <c r="A30" s="124"/>
      <c r="B30" s="125"/>
      <c r="C30" s="112"/>
      <c r="D30" s="125"/>
      <c r="E30" s="125"/>
      <c r="F30" s="125"/>
      <c r="G30" s="126"/>
    </row>
    <row r="31" spans="1:13" x14ac:dyDescent="0.25">
      <c r="A31" s="124"/>
      <c r="B31" s="125"/>
      <c r="C31" s="112"/>
      <c r="D31" s="125"/>
      <c r="E31" s="125"/>
      <c r="F31" s="125"/>
      <c r="G31" s="126"/>
    </row>
    <row r="32" spans="1:13" x14ac:dyDescent="0.25">
      <c r="A32" s="124"/>
      <c r="B32" s="125"/>
      <c r="C32" s="112"/>
      <c r="D32" s="125"/>
      <c r="E32" s="125"/>
      <c r="F32" s="125"/>
      <c r="G32" s="126"/>
    </row>
    <row r="33" spans="1:7" x14ac:dyDescent="0.25">
      <c r="A33" s="124"/>
      <c r="B33" s="125"/>
      <c r="C33" s="112"/>
      <c r="D33" s="125"/>
      <c r="E33" s="125"/>
      <c r="F33" s="125"/>
      <c r="G33" s="126"/>
    </row>
    <row r="34" spans="1:7" x14ac:dyDescent="0.25">
      <c r="A34" s="124"/>
      <c r="B34" s="125"/>
      <c r="C34" s="112"/>
      <c r="D34" s="125"/>
      <c r="E34" s="125"/>
      <c r="F34" s="125"/>
      <c r="G34" s="126"/>
    </row>
    <row r="35" spans="1:7" x14ac:dyDescent="0.25">
      <c r="A35" s="124"/>
      <c r="B35" s="125"/>
      <c r="C35" s="112"/>
      <c r="D35" s="125"/>
      <c r="E35" s="125"/>
      <c r="F35" s="125"/>
      <c r="G35" s="126"/>
    </row>
    <row r="36" spans="1:7" x14ac:dyDescent="0.25">
      <c r="A36" s="124"/>
      <c r="B36" s="125"/>
      <c r="C36" s="112"/>
      <c r="D36" s="125"/>
      <c r="E36" s="125"/>
      <c r="F36" s="125"/>
      <c r="G36" s="126"/>
    </row>
    <row r="37" spans="1:7" x14ac:dyDescent="0.25">
      <c r="A37" s="124"/>
      <c r="B37" s="125"/>
      <c r="C37" s="112"/>
      <c r="D37" s="125"/>
      <c r="E37" s="125"/>
      <c r="F37" s="125"/>
      <c r="G37" s="126"/>
    </row>
    <row r="38" spans="1:7" x14ac:dyDescent="0.25">
      <c r="A38" s="124"/>
      <c r="B38" s="127"/>
      <c r="C38" s="128"/>
      <c r="D38" s="127"/>
      <c r="E38" s="127"/>
      <c r="F38" s="127"/>
      <c r="G38" s="129"/>
    </row>
    <row r="39" spans="1:7" x14ac:dyDescent="0.25">
      <c r="A39" s="124"/>
      <c r="B39" s="127"/>
      <c r="C39" s="128"/>
      <c r="D39" s="127"/>
      <c r="E39" s="127"/>
      <c r="F39" s="127"/>
      <c r="G39" s="129"/>
    </row>
  </sheetData>
  <mergeCells count="4">
    <mergeCell ref="A5:C6"/>
    <mergeCell ref="F6:F7"/>
    <mergeCell ref="A8:G9"/>
    <mergeCell ref="I17:M23"/>
  </mergeCells>
  <printOptions horizontalCentered="1"/>
  <pageMargins left="0.31496062992125984" right="0.31496062992125984" top="0.35433070866141736" bottom="0.35433070866141736" header="0.11811023622047245" footer="0.11811023622047245"/>
  <pageSetup scale="60" orientation="landscape" r:id="rId1"/>
  <headerFooter>
    <oddHeader>&amp;R&amp;"Candara,Cursiva"&amp;10B.D. Indicadores Básicos Institucionales</oddHeader>
    <oddFooter>&amp;R&amp;"Candara,Normal"&amp;10Página &amp;P de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1FEC-F423-4517-BA55-A12101883F56}">
  <sheetPr>
    <tabColor theme="5"/>
  </sheetPr>
  <dimension ref="A1:P78"/>
  <sheetViews>
    <sheetView showWhiteSpace="0" topLeftCell="C1" zoomScale="90" zoomScaleNormal="90" zoomScaleSheetLayoutView="85" zoomScalePageLayoutView="70" workbookViewId="0">
      <selection activeCell="A6" sqref="A6"/>
    </sheetView>
  </sheetViews>
  <sheetFormatPr baseColWidth="10" defaultColWidth="11.42578125" defaultRowHeight="15" x14ac:dyDescent="0.25"/>
  <cols>
    <col min="1" max="1" width="31.140625" customWidth="1"/>
    <col min="2" max="8" width="19.42578125" customWidth="1"/>
    <col min="9" max="9" width="14.28515625" customWidth="1"/>
    <col min="10" max="10" width="8.42578125" customWidth="1"/>
    <col min="12" max="12" width="35.42578125" bestFit="1" customWidth="1"/>
  </cols>
  <sheetData>
    <row r="1" spans="1:16" s="2" customFormat="1" ht="21" x14ac:dyDescent="0.25">
      <c r="A1" s="1" t="s">
        <v>0</v>
      </c>
      <c r="B1" s="1"/>
      <c r="C1" s="1"/>
      <c r="D1" s="1"/>
      <c r="F1" s="3"/>
      <c r="H1" s="4"/>
      <c r="N1" s="4"/>
      <c r="O1" s="4"/>
      <c r="P1" s="4"/>
    </row>
    <row r="2" spans="1:16" s="2" customFormat="1" ht="15.75" x14ac:dyDescent="0.25">
      <c r="A2" s="5" t="s">
        <v>1</v>
      </c>
      <c r="B2" s="5"/>
      <c r="C2" s="5"/>
      <c r="D2" s="5"/>
      <c r="F2" s="3"/>
      <c r="H2" s="4"/>
      <c r="N2" s="4"/>
      <c r="O2" s="4"/>
      <c r="P2" s="4"/>
    </row>
    <row r="3" spans="1:16" s="2" customFormat="1" ht="20.25" customHeight="1" thickBot="1" x14ac:dyDescent="0.3">
      <c r="A3" s="6" t="s">
        <v>522</v>
      </c>
      <c r="B3" s="6"/>
      <c r="C3" s="6"/>
      <c r="D3" s="7"/>
      <c r="E3" s="7"/>
      <c r="F3" s="8"/>
      <c r="G3" s="7"/>
      <c r="H3" s="4"/>
      <c r="N3" s="4"/>
      <c r="O3" s="4"/>
      <c r="P3" s="4"/>
    </row>
    <row r="4" spans="1:16" s="2" customFormat="1" ht="20.25" customHeight="1" thickTop="1" x14ac:dyDescent="0.25">
      <c r="A4" s="180" t="s">
        <v>551</v>
      </c>
      <c r="B4" s="181"/>
      <c r="C4" s="181"/>
      <c r="D4" s="175"/>
      <c r="E4" s="175"/>
      <c r="F4" s="176"/>
      <c r="G4" s="175"/>
      <c r="H4" s="4"/>
      <c r="N4" s="4"/>
      <c r="O4" s="4"/>
      <c r="P4" s="4"/>
    </row>
    <row r="5" spans="1:16" ht="15" customHeight="1" x14ac:dyDescent="0.25">
      <c r="A5" s="182" t="s">
        <v>552</v>
      </c>
      <c r="B5" s="182"/>
      <c r="C5" s="182"/>
      <c r="D5" s="182"/>
      <c r="E5" s="182"/>
      <c r="F5" s="182"/>
      <c r="G5" s="182"/>
      <c r="H5" s="182"/>
    </row>
    <row r="7" spans="1:16" s="34" customFormat="1" ht="39.75" customHeight="1" x14ac:dyDescent="0.25">
      <c r="A7"/>
      <c r="B7" s="213" t="s">
        <v>345</v>
      </c>
      <c r="C7" s="213"/>
      <c r="D7" s="213"/>
      <c r="E7" s="213"/>
      <c r="F7" s="213"/>
      <c r="G7" s="213"/>
      <c r="H7" s="213"/>
      <c r="I7"/>
      <c r="J7"/>
    </row>
    <row r="8" spans="1:16" s="34" customFormat="1" ht="39.75" customHeight="1" x14ac:dyDescent="0.25">
      <c r="A8" s="17" t="s">
        <v>346</v>
      </c>
      <c r="B8" s="56" t="s">
        <v>6</v>
      </c>
      <c r="C8" s="56" t="s">
        <v>4</v>
      </c>
      <c r="D8" s="56" t="s">
        <v>5</v>
      </c>
      <c r="E8" s="56" t="s">
        <v>8</v>
      </c>
      <c r="F8" s="56" t="s">
        <v>9</v>
      </c>
      <c r="G8" s="56" t="s">
        <v>7</v>
      </c>
      <c r="H8" s="56" t="s">
        <v>3</v>
      </c>
      <c r="I8"/>
      <c r="J8"/>
    </row>
    <row r="9" spans="1:16" ht="57" customHeight="1" x14ac:dyDescent="0.25">
      <c r="A9" s="74" t="s">
        <v>415</v>
      </c>
      <c r="B9" s="56"/>
      <c r="C9" s="56"/>
      <c r="D9" s="56"/>
      <c r="E9" s="56"/>
      <c r="F9" s="56"/>
      <c r="G9" s="56"/>
      <c r="H9" s="64">
        <v>4</v>
      </c>
    </row>
    <row r="10" spans="1:16" ht="57" customHeight="1" x14ac:dyDescent="0.25">
      <c r="A10" s="74" t="s">
        <v>416</v>
      </c>
      <c r="B10" s="56"/>
      <c r="C10" s="56"/>
      <c r="D10" s="56"/>
      <c r="E10" s="56"/>
      <c r="F10" s="56"/>
      <c r="G10" s="56"/>
      <c r="H10" s="64">
        <v>4</v>
      </c>
    </row>
    <row r="11" spans="1:16" ht="57" customHeight="1" x14ac:dyDescent="0.25"/>
    <row r="12" spans="1:16" ht="57" customHeight="1" x14ac:dyDescent="0.25"/>
    <row r="13" spans="1:16" ht="57" customHeight="1" x14ac:dyDescent="0.25"/>
    <row r="76" ht="30.75" customHeight="1" x14ac:dyDescent="0.25"/>
    <row r="78" ht="30" customHeight="1" x14ac:dyDescent="0.25"/>
  </sheetData>
  <mergeCells count="2">
    <mergeCell ref="A5:H5"/>
    <mergeCell ref="B7:H7"/>
  </mergeCells>
  <printOptions horizontalCentered="1"/>
  <pageMargins left="0.31496062992125984" right="0.31496062992125984" top="0.35433070866141736" bottom="0.35433070866141736" header="0.11811023622047245" footer="0.11811023622047245"/>
  <pageSetup scale="63" orientation="portrait" r:id="rId1"/>
  <headerFooter>
    <oddHeader>&amp;R&amp;"Candara,Cursiva"&amp;10B.D. Indicadores Básicos Institucionales</oddHeader>
    <oddFooter>&amp;R&amp;"Candara,Normal"&amp;10Página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M3,Ind. 1,2,3</vt:lpstr>
      <vt:lpstr>M3, Ind. 4</vt:lpstr>
      <vt:lpstr>M4,Ind. 4</vt:lpstr>
      <vt:lpstr>M4, Ind. 7</vt:lpstr>
      <vt:lpstr>M4,Ind.9 y 10</vt:lpstr>
      <vt:lpstr>M4,Ind.11 y 14</vt:lpstr>
      <vt:lpstr>M4,Ind. 15 y 16</vt:lpstr>
      <vt:lpstr>M4, Ind. 17</vt:lpstr>
      <vt:lpstr>M4, Ind.19</vt:lpstr>
      <vt:lpstr>M4, Ind. 20</vt:lpstr>
      <vt:lpstr>M6, Ind. 2</vt:lpstr>
      <vt:lpstr>M6, Ind.8</vt:lpstr>
      <vt:lpstr>M8,Ind. 1</vt:lpstr>
      <vt:lpstr>M8,Ind. 9</vt:lpstr>
      <vt:lpstr>M10,Ind. 4</vt:lpstr>
      <vt:lpstr>M17, Ind.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ELITEBOOK</cp:lastModifiedBy>
  <dcterms:created xsi:type="dcterms:W3CDTF">2023-05-23T16:23:27Z</dcterms:created>
  <dcterms:modified xsi:type="dcterms:W3CDTF">2023-06-23T00:09:07Z</dcterms:modified>
</cp:coreProperties>
</file>